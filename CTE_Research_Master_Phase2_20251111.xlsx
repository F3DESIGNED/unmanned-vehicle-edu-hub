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arameters" sheetId="1" state="hidden" r:id="rId1"/>
    <sheet name="Districts_Raw" sheetId="2" state="visible" r:id="rId2"/>
    <sheet name="Programs_Raw" sheetId="3" state="visible" r:id="rId3"/>
    <sheet name="Labor_Market_County" sheetId="4" state="visible" r:id="rId4"/>
    <sheet name="Labor_Market_CEPD" sheetId="5" state="visible" r:id="rId5"/>
    <sheet name="Labor_Market_Prosperity" sheetId="6" state="visible" r:id="rId6"/>
    <sheet name="Labor_Market_Metropolitan" sheetId="7" state="visible" r:id="rId7"/>
    <sheet name="Labor_Market_Economic" sheetId="8" state="visible" r:id="rId8"/>
    <sheet name="CIP_SOC_Crosswalk" sheetId="9" state="visible" r:id="rId9"/>
    <sheet name="Geographic_Crosswalk" sheetId="10" state="visible" r:id="rId10"/>
    <sheet name="Control_Variables_Raw" sheetId="11" state="visible" r:id="rId11"/>
    <sheet name="Districts_Clean" sheetId="12" state="visible" r:id="rId12"/>
    <sheet name="Programs_Fractional" sheetId="13" state="visible" r:id="rId13"/>
    <sheet name="OCQ_Calculated" sheetId="14" state="visible" r:id="rId14"/>
    <sheet name="Helper_Alignment_County" sheetId="15" state="visible" r:id="rId15"/>
    <sheet name="Toggle_Settings" sheetId="16" state="visible" r:id="rId16"/>
    <sheet name="Variable_Codebook" sheetId="17" state="visible" r:id="rId17"/>
    <sheet name="Formula_Key" sheetId="18" state="visible" r:id="rId18"/>
    <sheet name="PDER_Calculated" sheetId="19" state="visible" r:id="rId19"/>
    <sheet name="Helper_Alignment_CEPD" sheetId="20" state="visible" r:id="rId20"/>
    <sheet name="Helper_Alignment_Prosperity" sheetId="21" state="visible" r:id="rId21"/>
    <sheet name="Helper_Alignment_Metropolitan" sheetId="22" state="visible" r:id="rId22"/>
    <sheet name="Helper_Alignment_Economic" sheetId="23" state="visible" r:id="rId23"/>
  </sheets>
  <definedNames>
    <definedName name="StatePathways_Count">Parameters!$B$2</definedName>
    <definedName name="Active_Toggle_District">Toggle_Settings!$B$2</definedName>
    <definedName name="Active_Toggle_Wage">Toggle_Settings!$B$3</definedName>
    <definedName name="Active_Toggle_OccCount">Toggle_Settings!$B$4</definedName>
    <definedName name="Active_Toggle_TimeRef">Toggle_Settings!$B$5</definedName>
    <definedName name="State_Total_Programs">SUM(tbl_Programs_Fractional[Fractional_Credit])</definedName>
    <definedName name="State_Total_Enrollment">SUM(tbl_Districts_Clean[Enrollment])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FFB366"/>
        <bgColor rgb="00FFB366"/>
      </patternFill>
    </fill>
    <fill>
      <patternFill patternType="solid">
        <fgColor rgb="00366092"/>
        <bgColor rgb="00366092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tbl_Districts_Raw" displayName="tbl_Districts_Raw" ref="A1:G14" headerRowCount="1">
  <autoFilter ref="A1:G14"/>
  <tableColumns count="7">
    <tableColumn id="1" name="NCES_ID"/>
    <tableColumn id="2" name="District_Name"/>
    <tableColumn id="3" name="County"/>
    <tableColumn id="4" name="Locale_Code"/>
    <tableColumn id="5" name="Enrollment"/>
    <tableColumn id="6" name="FRL_Count"/>
    <tableColumn id="7" name="FRL_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rograms_Raw" displayName="tbl_Programs_Raw" ref="A1:E32" headerRowCount="1">
  <autoFilter ref="A1:E32"/>
  <tableColumns count="5">
    <tableColumn id="1" name="NCES_ID"/>
    <tableColumn id="2" name="CIP_Code"/>
    <tableColumn id="3" name="Building_Code"/>
    <tableColumn id="4" name="Program_Name"/>
    <tableColumn id="5" name="Program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Labor_County" displayName="tbl_Labor_County" ref="A1:G121" headerRowCount="1">
  <autoFilter ref="A1:G121"/>
  <tableColumns count="7">
    <tableColumn id="1" name="County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Labor_CEPD" displayName="tbl_Labor_CEPD" ref="A1:G57" headerRowCount="1">
  <autoFilter ref="A1:G57"/>
  <tableColumns count="7">
    <tableColumn id="1" name="CEPD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abor_Prosperity" displayName="tbl_Labor_Prosperity" ref="A1:G49" headerRowCount="1">
  <autoFilter ref="A1:G49"/>
  <tableColumns count="7">
    <tableColumn id="1" name="Prosperity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Labor_Metropolitan" displayName="tbl_Labor_Metropolitan" ref="A1:G33" headerRowCount="1">
  <autoFilter ref="A1:G33"/>
  <tableColumns count="7">
    <tableColumn id="1" name="Metropolitan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Labor_Economic" displayName="tbl_Labor_Economic" ref="A1:G49" headerRowCount="1">
  <autoFilter ref="A1:G49"/>
  <tableColumns count="7">
    <tableColumn id="1" name="Economic_Region"/>
    <tableColumn id="2" name="SOC_Code"/>
    <tableColumn id="3" name="Occupation_Title"/>
    <tableColumn id="4" name="Median_Wage"/>
    <tableColumn id="5" name="Regional_Median_Wage"/>
    <tableColumn id="6" name="Annual_Openings_Current"/>
    <tableColumn id="7" name="Annual_Openings_10y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IP_SOC_Crosswalk" displayName="tbl_CIP_SOC_Crosswalk" ref="A1:C8" headerRowCount="1">
  <autoFilter ref="A1:C8"/>
  <tableColumns count="3">
    <tableColumn id="1" name="CIP_Code"/>
    <tableColumn id="2" name="SOC_Code"/>
    <tableColumn id="3" name="Pathway_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Geographic_Crosswalk" displayName="tbl_Geographic_Crosswalk" ref="A1:E13" headerRowCount="1">
  <autoFilter ref="A1:E13"/>
  <tableColumns count="5">
    <tableColumn id="1" name="County"/>
    <tableColumn id="2" name="CEPD_Region"/>
    <tableColumn id="3" name="Prosperity_Region"/>
    <tableColumn id="4" name="Metropolitan_Region"/>
    <tableColumn id="5" name="Economic_Reg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Control_Variables" displayName="tbl_Control_Variables" ref="A1:E14" headerRowCount="1">
  <autoFilter ref="A1:E14"/>
  <tableColumns count="5">
    <tableColumn id="1" name="NCES_ID"/>
    <tableColumn id="2" name="Perkins_Funding"/>
    <tableColumn id="3" name="Unemployment_Rate"/>
    <tableColumn id="4" name="District_Wealth_Index"/>
    <tableColumn id="5" name="Urbanicity_Sco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Districts_Clean" displayName="tbl_Districts_Clean" ref="A1:N14" headerRowCount="1">
  <autoFilter ref="A1:N14"/>
  <tableColumns count="14">
    <tableColumn id="1" name="NCES_ID"/>
    <tableColumn id="2" name="District_Name"/>
    <tableColumn id="3" name="County"/>
    <tableColumn id="4" name="Locale_Code"/>
    <tableColumn id="5" name="Locale_Category"/>
    <tableColumn id="6" name="Locale_Label"/>
    <tableColumn id="7" name="Enrollment"/>
    <tableColumn id="8" name="FRL_Count"/>
    <tableColumn id="9" name="FRL_Percent"/>
    <tableColumn id="10" name="Has_CTE"/>
    <tableColumn id="11" name="CEPD_Region"/>
    <tableColumn id="12" name="Prosperity_Region"/>
    <tableColumn id="13" name="Metropolitan_Region"/>
    <tableColumn id="14" name="Economic_Reg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Programs_Fractional" displayName="tbl_Programs_Fractional" ref="A1:H32" headerRowCount="1">
  <autoFilter ref="A1:H32"/>
  <tableColumns count="8">
    <tableColumn id="1" name="NCES_ID"/>
    <tableColumn id="2" name="CIP_Code"/>
    <tableColumn id="3" name="Building_Code"/>
    <tableColumn id="4" name="Program_Name"/>
    <tableColumn id="5" name="Program_Status"/>
    <tableColumn id="6" name="Is_InHouse"/>
    <tableColumn id="7" name="Sharing_Count"/>
    <tableColumn id="8" name="Fractional_Credi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OCQ_Calculated" displayName="tbl_OCQ_Calculated" ref="A1:F14" headerRowCount="1">
  <autoFilter ref="A1:F14"/>
  <tableColumns count="6">
    <tableColumn id="1" name="NCES_ID"/>
    <tableColumn id="2" name="District_Name"/>
    <tableColumn id="3" name="Total_Programs"/>
    <tableColumn id="4" name="StatePathways_Count"/>
    <tableColumn id="5" name="OCQ"/>
    <tableColumn id="6" name="OCQ_Catego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Helper_County" displayName="tbl_Helper_County" ref="A1:AG32" headerRowCount="1">
  <autoFilter ref="A1:AG32"/>
  <tableColumns count="33">
    <tableColumn id="1" name="NCES_ID"/>
    <tableColumn id="2" name="District_Name"/>
    <tableColumn id="3" name="County"/>
    <tableColumn id="4" name="CIP_Code"/>
    <tableColumn id="5" name="Program_Name"/>
    <tableColumn id="6" name="SOC_Code"/>
    <tableColumn id="7" name="Occupation_Title"/>
    <tableColumn id="8" name="Median_Wage"/>
    <tableColumn id="9" name="Regional_Median_Wage"/>
    <tableColumn id="10" name="Annual_Openings_Current"/>
    <tableColumn id="11" name="Annual_Openings_10yr"/>
    <tableColumn id="12" name="Wage_Ratio"/>
    <tableColumn id="13" name="Is_High_Wage_110"/>
    <tableColumn id="14" name="Is_High_Wage_120"/>
    <tableColumn id="15" name="Is_High_Wage_130"/>
    <tableColumn id="16" name="Rank_Current"/>
    <tableColumn id="17" name="Rank_10yr"/>
    <tableColumn id="18" name="Is_Top15_Current"/>
    <tableColumn id="19" name="Is_Top20_Current"/>
    <tableColumn id="20" name="Is_Top15_10yr"/>
    <tableColumn id="21" name="Is_Top20_10yr"/>
    <tableColumn id="22" name="Aligned_110_Top15_Current"/>
    <tableColumn id="23" name="Aligned_110_Top15_10yr"/>
    <tableColumn id="24" name="Aligned_110_Top20_Current"/>
    <tableColumn id="25" name="Aligned_110_Top20_10yr"/>
    <tableColumn id="26" name="Aligned_120_Top15_Current"/>
    <tableColumn id="27" name="Aligned_120_Top15_10yr"/>
    <tableColumn id="28" name="Aligned_120_Top20_Current"/>
    <tableColumn id="29" name="Aligned_120_Top20_10yr"/>
    <tableColumn id="30" name="Aligned_130_Top15_Current"/>
    <tableColumn id="31" name="Aligned_130_Top15_10yr"/>
    <tableColumn id="32" name="Aligned_130_Top20_Current"/>
    <tableColumn id="33" name="Aligned_130_Top20_10y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Variable_Codebook" displayName="tbl_Variable_Codebook" ref="A1:F32" headerRowCount="1">
  <autoFilter ref="A1:F32"/>
  <tableColumns count="6">
    <tableColumn id="1" name="Variable_Name"/>
    <tableColumn id="2" name="Data_Type"/>
    <tableColumn id="3" name="Valid_Range"/>
    <tableColumn id="4" name="Description"/>
    <tableColumn id="5" name="Source_Sheet"/>
    <tableColumn id="6" name="Formula_Referenc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Formula_Key" displayName="tbl_Formula_Key" ref="A1:E11" headerRowCount="1">
  <autoFilter ref="A1:E11"/>
  <tableColumns count="5">
    <tableColumn id="1" name="Formula_Name"/>
    <tableColumn id="2" name="Sheet_Location"/>
    <tableColumn id="3" name="Formula_Text"/>
    <tableColumn id="4" name="Plain_Language_Explanation"/>
    <tableColumn id="5" name="Exampl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PDER_Calculated" displayName="tbl_PDER_Calculated" ref="A1:H14" headerRowCount="1">
  <autoFilter ref="A1:H14"/>
  <tableColumns count="8">
    <tableColumn id="1" name="NCES_ID"/>
    <tableColumn id="2" name="District_Name"/>
    <tableColumn id="3" name="Total_Programs"/>
    <tableColumn id="4" name="District_Enrollment"/>
    <tableColumn id="5" name="Program_Share"/>
    <tableColumn id="6" name="Enrollment_Share"/>
    <tableColumn id="7" name="PDER"/>
    <tableColumn id="8" name="PDER_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tabColor rgb="00FFB366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Parameter_Name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StatePathways_Count</t>
        </is>
      </c>
      <c r="B2" t="n">
        <v>50</v>
      </c>
      <c r="C2" t="inlineStr">
        <is>
          <t>Total Michigan CTE pathways (user updates)</t>
        </is>
      </c>
    </row>
    <row r="3">
      <c r="A3" t="inlineStr">
        <is>
          <t>Wage_Threshold_110</t>
        </is>
      </c>
      <c r="B3" t="n">
        <v>1.1</v>
      </c>
      <c r="C3" t="inlineStr">
        <is>
          <t>110% of regional median</t>
        </is>
      </c>
    </row>
    <row r="4">
      <c r="A4" t="inlineStr">
        <is>
          <t>Wage_Threshold_120</t>
        </is>
      </c>
      <c r="B4" t="n">
        <v>1.2</v>
      </c>
      <c r="C4" t="inlineStr">
        <is>
          <t>120% of regional median</t>
        </is>
      </c>
    </row>
    <row r="5">
      <c r="A5" t="inlineStr">
        <is>
          <t>Wage_Threshold_130</t>
        </is>
      </c>
      <c r="B5" t="n">
        <v>1.3</v>
      </c>
      <c r="C5" t="inlineStr">
        <is>
          <t>130% of regional median</t>
        </is>
      </c>
    </row>
    <row r="6">
      <c r="A6" t="inlineStr">
        <is>
          <t>Top_Occupation_15</t>
        </is>
      </c>
      <c r="B6" t="n">
        <v>15</v>
      </c>
      <c r="C6" t="inlineStr">
        <is>
          <t>Top 15 occupations by openings</t>
        </is>
      </c>
    </row>
    <row r="7">
      <c r="A7" t="inlineStr">
        <is>
          <t>Top_Occupation_20</t>
        </is>
      </c>
      <c r="B7" t="n">
        <v>20</v>
      </c>
      <c r="C7" t="inlineStr">
        <is>
          <t>Top 20 occupations by openings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D3D3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16" customWidth="1" min="3" max="3"/>
    <col width="13" customWidth="1" min="4" max="4"/>
    <col width="12" customWidth="1" min="5" max="5"/>
    <col width="11" customWidth="1" min="6" max="6"/>
    <col width="13" customWidth="1" min="7" max="7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County</t>
        </is>
      </c>
      <c r="D1" s="2" t="inlineStr">
        <is>
          <t>Locale_Code</t>
        </is>
      </c>
      <c r="E1" s="2" t="inlineStr">
        <is>
          <t>Enrollment</t>
        </is>
      </c>
      <c r="F1" s="2" t="inlineStr">
        <is>
          <t>FRL_Count</t>
        </is>
      </c>
      <c r="G1" s="2" t="inlineStr">
        <is>
          <t>FRL_Percent</t>
        </is>
      </c>
    </row>
    <row r="2">
      <c r="A2" t="inlineStr">
        <is>
          <t>2600010</t>
        </is>
      </c>
      <c r="B2" t="inlineStr">
        <is>
          <t>Detroit Public Schools</t>
        </is>
      </c>
      <c r="C2" t="inlineStr">
        <is>
          <t>Wayne</t>
        </is>
      </c>
      <c r="D2" t="n">
        <v>11</v>
      </c>
      <c r="E2" t="n">
        <v>45000</v>
      </c>
      <c r="F2" t="n">
        <v>35000</v>
      </c>
      <c r="G2" t="n">
        <v>77.8</v>
      </c>
    </row>
    <row r="3">
      <c r="A3" t="inlineStr">
        <is>
          <t>2600020</t>
        </is>
      </c>
      <c r="B3" t="inlineStr">
        <is>
          <t>Ann Arbor Public Schools</t>
        </is>
      </c>
      <c r="C3" t="inlineStr">
        <is>
          <t>Washtenaw</t>
        </is>
      </c>
      <c r="D3" t="n">
        <v>21</v>
      </c>
      <c r="E3" t="n">
        <v>17000</v>
      </c>
      <c r="F3" t="n">
        <v>3400</v>
      </c>
      <c r="G3" t="n">
        <v>20</v>
      </c>
    </row>
    <row r="4">
      <c r="A4" t="inlineStr">
        <is>
          <t>2601234</t>
        </is>
      </c>
      <c r="B4" t="inlineStr">
        <is>
          <t>Traverse City Area PS</t>
        </is>
      </c>
      <c r="C4" t="inlineStr">
        <is>
          <t>Grand Traverse</t>
        </is>
      </c>
      <c r="D4" t="n">
        <v>22</v>
      </c>
      <c r="E4" t="n">
        <v>10500</v>
      </c>
      <c r="F4" t="n">
        <v>4200</v>
      </c>
      <c r="G4" t="n">
        <v>40</v>
      </c>
    </row>
    <row r="5">
      <c r="A5" t="inlineStr">
        <is>
          <t>2605678</t>
        </is>
      </c>
      <c r="B5" t="inlineStr">
        <is>
          <t>Frankenmuth School District</t>
        </is>
      </c>
      <c r="C5" t="inlineStr">
        <is>
          <t>Saginaw</t>
        </is>
      </c>
      <c r="D5" t="n">
        <v>32</v>
      </c>
      <c r="E5" t="n">
        <v>1200</v>
      </c>
      <c r="F5" t="n">
        <v>240</v>
      </c>
      <c r="G5" t="n">
        <v>20</v>
      </c>
    </row>
    <row r="6">
      <c r="A6" t="inlineStr">
        <is>
          <t>2609876</t>
        </is>
      </c>
      <c r="B6" t="inlineStr">
        <is>
          <t>Onaway Area Community SD</t>
        </is>
      </c>
      <c r="C6" t="inlineStr">
        <is>
          <t>Presque Isle</t>
        </is>
      </c>
      <c r="D6" t="n">
        <v>43</v>
      </c>
      <c r="E6" t="n">
        <v>650</v>
      </c>
      <c r="F6" t="n">
        <v>390</v>
      </c>
      <c r="G6" t="n">
        <v>60</v>
      </c>
    </row>
    <row r="7">
      <c r="A7" t="inlineStr">
        <is>
          <t>2602345</t>
        </is>
      </c>
      <c r="B7" t="inlineStr">
        <is>
          <t>Grand Rapids Public Schools</t>
        </is>
      </c>
      <c r="C7" t="inlineStr">
        <is>
          <t>Kent</t>
        </is>
      </c>
      <c r="D7" t="n">
        <v>11</v>
      </c>
      <c r="E7" t="n">
        <v>19000</v>
      </c>
      <c r="F7" t="n">
        <v>12000</v>
      </c>
      <c r="G7" t="n">
        <v>63.2</v>
      </c>
    </row>
    <row r="8">
      <c r="A8" t="inlineStr">
        <is>
          <t>2603456</t>
        </is>
      </c>
      <c r="B8" t="inlineStr">
        <is>
          <t>Novi Community Schools</t>
        </is>
      </c>
      <c r="C8" t="inlineStr">
        <is>
          <t>Oakland</t>
        </is>
      </c>
      <c r="D8" t="n">
        <v>21</v>
      </c>
      <c r="E8" t="n">
        <v>6500</v>
      </c>
      <c r="F8" t="n">
        <v>800</v>
      </c>
      <c r="G8" t="n">
        <v>12.3</v>
      </c>
    </row>
    <row r="9">
      <c r="A9" t="inlineStr">
        <is>
          <t>2604567</t>
        </is>
      </c>
      <c r="B9" t="inlineStr">
        <is>
          <t>East Lansing Public Schools</t>
        </is>
      </c>
      <c r="C9" t="inlineStr">
        <is>
          <t>Ingham</t>
        </is>
      </c>
      <c r="D9" t="n">
        <v>21</v>
      </c>
      <c r="E9" t="n">
        <v>3200</v>
      </c>
      <c r="F9" t="n">
        <v>640</v>
      </c>
      <c r="G9" t="n">
        <v>20</v>
      </c>
    </row>
    <row r="10">
      <c r="A10" t="inlineStr">
        <is>
          <t>2606789</t>
        </is>
      </c>
      <c r="B10" t="inlineStr">
        <is>
          <t>Petoskey Public Schools</t>
        </is>
      </c>
      <c r="C10" t="inlineStr">
        <is>
          <t>Emmet</t>
        </is>
      </c>
      <c r="D10" t="n">
        <v>32</v>
      </c>
      <c r="E10" t="n">
        <v>2100</v>
      </c>
      <c r="F10" t="n">
        <v>840</v>
      </c>
      <c r="G10" t="n">
        <v>40</v>
      </c>
    </row>
    <row r="11">
      <c r="A11" t="inlineStr">
        <is>
          <t>2607890</t>
        </is>
      </c>
      <c r="B11" t="inlineStr">
        <is>
          <t>Manistique Area Schools</t>
        </is>
      </c>
      <c r="C11" t="inlineStr">
        <is>
          <t>Schoolcraft</t>
        </is>
      </c>
      <c r="D11" t="n">
        <v>42</v>
      </c>
      <c r="E11" t="n">
        <v>890</v>
      </c>
      <c r="F11" t="n">
        <v>445</v>
      </c>
      <c r="G11" t="n">
        <v>50</v>
      </c>
    </row>
    <row r="12">
      <c r="A12" t="inlineStr">
        <is>
          <t>2608901</t>
        </is>
      </c>
      <c r="B12" t="inlineStr">
        <is>
          <t>Ironwood Area Schools</t>
        </is>
      </c>
      <c r="C12" t="inlineStr">
        <is>
          <t>Gogebic</t>
        </is>
      </c>
      <c r="D12" t="n">
        <v>43</v>
      </c>
      <c r="E12" t="n">
        <v>720</v>
      </c>
      <c r="F12" t="n">
        <v>504</v>
      </c>
      <c r="G12" t="n">
        <v>70</v>
      </c>
    </row>
    <row r="13">
      <c r="A13" t="inlineStr">
        <is>
          <t>2600234</t>
        </is>
      </c>
      <c r="B13" t="inlineStr">
        <is>
          <t>Livonia Public Schools</t>
        </is>
      </c>
      <c r="C13" t="inlineStr">
        <is>
          <t>Wayne</t>
        </is>
      </c>
      <c r="D13" t="n">
        <v>21</v>
      </c>
      <c r="E13" t="n">
        <v>14500</v>
      </c>
      <c r="F13" t="n">
        <v>4350</v>
      </c>
      <c r="G13" t="n">
        <v>30</v>
      </c>
    </row>
    <row r="14">
      <c r="A14" t="inlineStr">
        <is>
          <t>2601345</t>
        </is>
      </c>
      <c r="B14" t="inlineStr">
        <is>
          <t>Midland Public Schools</t>
        </is>
      </c>
      <c r="C14" t="inlineStr">
        <is>
          <t>Midland</t>
        </is>
      </c>
      <c r="D14" t="n">
        <v>22</v>
      </c>
      <c r="E14" t="n">
        <v>7800</v>
      </c>
      <c r="F14" t="n">
        <v>2340</v>
      </c>
      <c r="G14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3D3D3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33" customWidth="1" min="4" max="4"/>
    <col width="16" customWidth="1" min="5" max="5"/>
  </cols>
  <sheetData>
    <row r="1">
      <c r="A1" s="2" t="inlineStr">
        <is>
          <t>NCES_ID</t>
        </is>
      </c>
      <c r="B1" s="2" t="inlineStr">
        <is>
          <t>CIP_Code</t>
        </is>
      </c>
      <c r="C1" s="2" t="inlineStr">
        <is>
          <t>Building_Code</t>
        </is>
      </c>
      <c r="D1" s="2" t="inlineStr">
        <is>
          <t>Program_Name</t>
        </is>
      </c>
      <c r="E1" s="2" t="inlineStr">
        <is>
          <t>Program_Status</t>
        </is>
      </c>
    </row>
    <row r="2">
      <c r="A2" t="inlineStr">
        <is>
          <t>2600010</t>
        </is>
      </c>
      <c r="B2" t="inlineStr">
        <is>
          <t>47.0201</t>
        </is>
      </c>
      <c r="C2" t="inlineStr">
        <is>
          <t>26000100</t>
        </is>
      </c>
      <c r="D2" t="inlineStr">
        <is>
          <t>Heating, AC &amp; Refrigeration</t>
        </is>
      </c>
      <c r="E2" t="inlineStr">
        <is>
          <t>Active</t>
        </is>
      </c>
    </row>
    <row r="3">
      <c r="A3" t="inlineStr">
        <is>
          <t>2600010</t>
        </is>
      </c>
      <c r="B3" t="inlineStr">
        <is>
          <t>52.0201</t>
        </is>
      </c>
      <c r="C3" t="inlineStr">
        <is>
          <t>26000101</t>
        </is>
      </c>
      <c r="D3" t="inlineStr">
        <is>
          <t>Business Administration</t>
        </is>
      </c>
      <c r="E3" t="inlineStr">
        <is>
          <t>Active</t>
        </is>
      </c>
    </row>
    <row r="4">
      <c r="A4" t="inlineStr">
        <is>
          <t>2600010</t>
        </is>
      </c>
      <c r="B4" t="inlineStr">
        <is>
          <t>11.0201</t>
        </is>
      </c>
      <c r="C4" t="inlineStr">
        <is>
          <t>26000102</t>
        </is>
      </c>
      <c r="D4" t="inlineStr">
        <is>
          <t>Computer Programming</t>
        </is>
      </c>
      <c r="E4" t="inlineStr">
        <is>
          <t>Active</t>
        </is>
      </c>
    </row>
    <row r="5">
      <c r="A5" t="inlineStr">
        <is>
          <t>2600020</t>
        </is>
      </c>
      <c r="B5" t="inlineStr">
        <is>
          <t>11.0201</t>
        </is>
      </c>
      <c r="C5" t="inlineStr">
        <is>
          <t>26000200</t>
        </is>
      </c>
      <c r="D5" t="inlineStr">
        <is>
          <t>Computer Programming</t>
        </is>
      </c>
      <c r="E5" t="inlineStr">
        <is>
          <t>Active</t>
        </is>
      </c>
    </row>
    <row r="6">
      <c r="A6" t="inlineStr">
        <is>
          <t>2600020</t>
        </is>
      </c>
      <c r="B6" t="inlineStr">
        <is>
          <t>47.0201</t>
        </is>
      </c>
      <c r="C6" t="inlineStr">
        <is>
          <t>81050100</t>
        </is>
      </c>
      <c r="D6" t="inlineStr">
        <is>
          <t>HVAC (ISD Shared)</t>
        </is>
      </c>
      <c r="E6" t="inlineStr">
        <is>
          <t>Active</t>
        </is>
      </c>
    </row>
    <row r="7">
      <c r="A7" t="inlineStr">
        <is>
          <t>2600020</t>
        </is>
      </c>
      <c r="B7" t="inlineStr">
        <is>
          <t>51.0801</t>
        </is>
      </c>
      <c r="C7" t="inlineStr">
        <is>
          <t>26000201</t>
        </is>
      </c>
      <c r="D7" t="inlineStr">
        <is>
          <t>Medical Assistant</t>
        </is>
      </c>
      <c r="E7" t="inlineStr">
        <is>
          <t>Active</t>
        </is>
      </c>
    </row>
    <row r="8">
      <c r="A8" t="inlineStr">
        <is>
          <t>2601234</t>
        </is>
      </c>
      <c r="B8" t="inlineStr">
        <is>
          <t>47.0201</t>
        </is>
      </c>
      <c r="C8" t="inlineStr">
        <is>
          <t>81050100</t>
        </is>
      </c>
      <c r="D8" t="inlineStr">
        <is>
          <t>HVAC (ISD Shared)</t>
        </is>
      </c>
      <c r="E8" t="inlineStr">
        <is>
          <t>Active</t>
        </is>
      </c>
    </row>
    <row r="9">
      <c r="A9" t="inlineStr">
        <is>
          <t>2601234</t>
        </is>
      </c>
      <c r="B9" t="inlineStr">
        <is>
          <t>51.0911</t>
        </is>
      </c>
      <c r="C9" t="inlineStr">
        <is>
          <t>26012300</t>
        </is>
      </c>
      <c r="D9" t="inlineStr">
        <is>
          <t>Massage Therapy</t>
        </is>
      </c>
      <c r="E9" t="inlineStr">
        <is>
          <t>Active</t>
        </is>
      </c>
    </row>
    <row r="10">
      <c r="A10" t="inlineStr">
        <is>
          <t>2601234</t>
        </is>
      </c>
      <c r="B10" t="inlineStr">
        <is>
          <t>52.0201</t>
        </is>
      </c>
      <c r="C10" t="inlineStr">
        <is>
          <t>26012301</t>
        </is>
      </c>
      <c r="D10" t="inlineStr">
        <is>
          <t>Business Management</t>
        </is>
      </c>
      <c r="E10" t="inlineStr">
        <is>
          <t>Active</t>
        </is>
      </c>
    </row>
    <row r="11">
      <c r="A11" t="inlineStr">
        <is>
          <t>2605678</t>
        </is>
      </c>
      <c r="B11" t="inlineStr">
        <is>
          <t>01.0101</t>
        </is>
      </c>
      <c r="C11" t="inlineStr">
        <is>
          <t>26056780</t>
        </is>
      </c>
      <c r="D11" t="inlineStr">
        <is>
          <t>Agricultural Business</t>
        </is>
      </c>
      <c r="E11" t="inlineStr">
        <is>
          <t>Active</t>
        </is>
      </c>
    </row>
    <row r="12">
      <c r="A12" t="inlineStr">
        <is>
          <t>2605678</t>
        </is>
      </c>
      <c r="B12" t="inlineStr">
        <is>
          <t>47.0201</t>
        </is>
      </c>
      <c r="C12" t="inlineStr">
        <is>
          <t>81050100</t>
        </is>
      </c>
      <c r="D12" t="inlineStr">
        <is>
          <t>HVAC (ISD Shared)</t>
        </is>
      </c>
      <c r="E12" t="inlineStr">
        <is>
          <t>Active</t>
        </is>
      </c>
    </row>
    <row r="13">
      <c r="A13" t="inlineStr">
        <is>
          <t>2609876</t>
        </is>
      </c>
      <c r="B13" t="inlineStr">
        <is>
          <t>01.0101</t>
        </is>
      </c>
      <c r="C13" t="inlineStr">
        <is>
          <t>26098760</t>
        </is>
      </c>
      <c r="D13" t="inlineStr">
        <is>
          <t>Agricultural Science</t>
        </is>
      </c>
      <c r="E13" t="inlineStr">
        <is>
          <t>Active</t>
        </is>
      </c>
    </row>
    <row r="14">
      <c r="A14" t="inlineStr">
        <is>
          <t>2609876</t>
        </is>
      </c>
      <c r="B14" t="inlineStr">
        <is>
          <t>47.0605</t>
        </is>
      </c>
      <c r="C14" t="inlineStr">
        <is>
          <t>81050200</t>
        </is>
      </c>
      <c r="D14" t="inlineStr">
        <is>
          <t>Welding (ISD Shared)</t>
        </is>
      </c>
      <c r="E14" t="inlineStr">
        <is>
          <t>Active</t>
        </is>
      </c>
    </row>
    <row r="15">
      <c r="A15" t="inlineStr">
        <is>
          <t>2602345</t>
        </is>
      </c>
      <c r="B15" t="inlineStr">
        <is>
          <t>47.0201</t>
        </is>
      </c>
      <c r="C15" t="inlineStr">
        <is>
          <t>26023450</t>
        </is>
      </c>
      <c r="D15" t="inlineStr">
        <is>
          <t>HVAC Technology</t>
        </is>
      </c>
      <c r="E15" t="inlineStr">
        <is>
          <t>Active</t>
        </is>
      </c>
    </row>
    <row r="16">
      <c r="A16" t="inlineStr">
        <is>
          <t>2602345</t>
        </is>
      </c>
      <c r="B16" t="inlineStr">
        <is>
          <t>52.0201</t>
        </is>
      </c>
      <c r="C16" t="inlineStr">
        <is>
          <t>26023451</t>
        </is>
      </c>
      <c r="D16" t="inlineStr">
        <is>
          <t>Business &amp; Marketing</t>
        </is>
      </c>
      <c r="E16" t="inlineStr">
        <is>
          <t>Active</t>
        </is>
      </c>
    </row>
    <row r="17">
      <c r="A17" t="inlineStr">
        <is>
          <t>2602345</t>
        </is>
      </c>
      <c r="B17" t="inlineStr">
        <is>
          <t>51.0801</t>
        </is>
      </c>
      <c r="C17" t="inlineStr">
        <is>
          <t>26023452</t>
        </is>
      </c>
      <c r="D17" t="inlineStr">
        <is>
          <t>Health Occupations</t>
        </is>
      </c>
      <c r="E17" t="inlineStr">
        <is>
          <t>Active</t>
        </is>
      </c>
    </row>
    <row r="18">
      <c r="A18" t="inlineStr">
        <is>
          <t>2602345</t>
        </is>
      </c>
      <c r="B18" t="inlineStr">
        <is>
          <t>11.0201</t>
        </is>
      </c>
      <c r="C18" t="inlineStr">
        <is>
          <t>26023453</t>
        </is>
      </c>
      <c r="D18" t="inlineStr">
        <is>
          <t>Information Technology</t>
        </is>
      </c>
      <c r="E18" t="inlineStr">
        <is>
          <t>Active</t>
        </is>
      </c>
    </row>
    <row r="19">
      <c r="A19" t="inlineStr">
        <is>
          <t>2603456</t>
        </is>
      </c>
      <c r="B19" t="inlineStr">
        <is>
          <t>11.0201</t>
        </is>
      </c>
      <c r="C19" t="inlineStr">
        <is>
          <t>26034560</t>
        </is>
      </c>
      <c r="D19" t="inlineStr">
        <is>
          <t>Computer Science</t>
        </is>
      </c>
      <c r="E19" t="inlineStr">
        <is>
          <t>Active</t>
        </is>
      </c>
    </row>
    <row r="20">
      <c r="A20" t="inlineStr">
        <is>
          <t>2603456</t>
        </is>
      </c>
      <c r="B20" t="inlineStr">
        <is>
          <t>52.0201</t>
        </is>
      </c>
      <c r="C20" t="inlineStr">
        <is>
          <t>26034561</t>
        </is>
      </c>
      <c r="D20" t="inlineStr">
        <is>
          <t>Business Analytics</t>
        </is>
      </c>
      <c r="E20" t="inlineStr">
        <is>
          <t>Active</t>
        </is>
      </c>
    </row>
    <row r="21">
      <c r="A21" t="inlineStr">
        <is>
          <t>2604567</t>
        </is>
      </c>
      <c r="B21" t="inlineStr">
        <is>
          <t>51.0801</t>
        </is>
      </c>
      <c r="C21" t="inlineStr">
        <is>
          <t>26045670</t>
        </is>
      </c>
      <c r="D21" t="inlineStr">
        <is>
          <t>Medical Careers</t>
        </is>
      </c>
      <c r="E21" t="inlineStr">
        <is>
          <t>Active</t>
        </is>
      </c>
    </row>
    <row r="22">
      <c r="A22" t="inlineStr">
        <is>
          <t>2604567</t>
        </is>
      </c>
      <c r="B22" t="inlineStr">
        <is>
          <t>47.0201</t>
        </is>
      </c>
      <c r="C22" t="inlineStr">
        <is>
          <t>81050100</t>
        </is>
      </c>
      <c r="D22" t="inlineStr">
        <is>
          <t>HVAC (ISD Shared)</t>
        </is>
      </c>
      <c r="E22" t="inlineStr">
        <is>
          <t>Active</t>
        </is>
      </c>
    </row>
    <row r="23">
      <c r="A23" t="inlineStr">
        <is>
          <t>2606789</t>
        </is>
      </c>
      <c r="B23" t="inlineStr">
        <is>
          <t>01.0101</t>
        </is>
      </c>
      <c r="C23" t="inlineStr">
        <is>
          <t>26067890</t>
        </is>
      </c>
      <c r="D23" t="inlineStr">
        <is>
          <t>Agriculture &amp; Natural Resources</t>
        </is>
      </c>
      <c r="E23" t="inlineStr">
        <is>
          <t>Active</t>
        </is>
      </c>
    </row>
    <row r="24">
      <c r="A24" t="inlineStr">
        <is>
          <t>2606789</t>
        </is>
      </c>
      <c r="B24" t="inlineStr">
        <is>
          <t>47.0605</t>
        </is>
      </c>
      <c r="C24" t="inlineStr">
        <is>
          <t>81050200</t>
        </is>
      </c>
      <c r="D24" t="inlineStr">
        <is>
          <t>Welding (ISD Shared)</t>
        </is>
      </c>
      <c r="E24" t="inlineStr">
        <is>
          <t>Active</t>
        </is>
      </c>
    </row>
    <row r="25">
      <c r="A25" t="inlineStr">
        <is>
          <t>2607890</t>
        </is>
      </c>
      <c r="B25" t="inlineStr">
        <is>
          <t>47.0605</t>
        </is>
      </c>
      <c r="C25" t="inlineStr">
        <is>
          <t>81050200</t>
        </is>
      </c>
      <c r="D25" t="inlineStr">
        <is>
          <t>Welding (ISD Shared)</t>
        </is>
      </c>
      <c r="E25" t="inlineStr">
        <is>
          <t>Active</t>
        </is>
      </c>
    </row>
    <row r="26">
      <c r="A26" t="inlineStr">
        <is>
          <t>2607890</t>
        </is>
      </c>
      <c r="B26" t="inlineStr">
        <is>
          <t>47.0201</t>
        </is>
      </c>
      <c r="C26" t="inlineStr">
        <is>
          <t>26078900</t>
        </is>
      </c>
      <c r="D26" t="inlineStr">
        <is>
          <t>Building Trades</t>
        </is>
      </c>
      <c r="E26" t="inlineStr">
        <is>
          <t>Active</t>
        </is>
      </c>
    </row>
    <row r="27">
      <c r="A27" t="inlineStr">
        <is>
          <t>2608901</t>
        </is>
      </c>
      <c r="B27" t="inlineStr">
        <is>
          <t>01.0101</t>
        </is>
      </c>
      <c r="C27" t="inlineStr">
        <is>
          <t>26089010</t>
        </is>
      </c>
      <c r="D27" t="inlineStr">
        <is>
          <t>Natural Resources</t>
        </is>
      </c>
      <c r="E27" t="inlineStr">
        <is>
          <t>Active</t>
        </is>
      </c>
    </row>
    <row r="28">
      <c r="A28" t="inlineStr">
        <is>
          <t>2608901</t>
        </is>
      </c>
      <c r="B28" t="inlineStr">
        <is>
          <t>47.0605</t>
        </is>
      </c>
      <c r="C28" t="inlineStr">
        <is>
          <t>26089011</t>
        </is>
      </c>
      <c r="D28" t="inlineStr">
        <is>
          <t>Manufacturing Technology</t>
        </is>
      </c>
      <c r="E28" t="inlineStr">
        <is>
          <t>Active</t>
        </is>
      </c>
    </row>
    <row r="29">
      <c r="A29" t="inlineStr">
        <is>
          <t>2600234</t>
        </is>
      </c>
      <c r="B29" t="inlineStr">
        <is>
          <t>51.0801</t>
        </is>
      </c>
      <c r="C29" t="inlineStr">
        <is>
          <t>26002340</t>
        </is>
      </c>
      <c r="D29" t="inlineStr">
        <is>
          <t>Health Sciences</t>
        </is>
      </c>
      <c r="E29" t="inlineStr">
        <is>
          <t>Active</t>
        </is>
      </c>
    </row>
    <row r="30">
      <c r="A30" t="inlineStr">
        <is>
          <t>2600234</t>
        </is>
      </c>
      <c r="B30" t="inlineStr">
        <is>
          <t>11.0201</t>
        </is>
      </c>
      <c r="C30" t="inlineStr">
        <is>
          <t>26002341</t>
        </is>
      </c>
      <c r="D30" t="inlineStr">
        <is>
          <t>IT &amp; Cybersecurity</t>
        </is>
      </c>
      <c r="E30" t="inlineStr">
        <is>
          <t>Active</t>
        </is>
      </c>
    </row>
    <row r="31">
      <c r="A31" t="inlineStr">
        <is>
          <t>2601345</t>
        </is>
      </c>
      <c r="B31" t="inlineStr">
        <is>
          <t>52.0201</t>
        </is>
      </c>
      <c r="C31" t="inlineStr">
        <is>
          <t>26013450</t>
        </is>
      </c>
      <c r="D31" t="inlineStr">
        <is>
          <t>Business Technology</t>
        </is>
      </c>
      <c r="E31" t="inlineStr">
        <is>
          <t>Active</t>
        </is>
      </c>
    </row>
    <row r="32">
      <c r="A32" t="inlineStr">
        <is>
          <t>2601345</t>
        </is>
      </c>
      <c r="B32" t="inlineStr">
        <is>
          <t>47.0201</t>
        </is>
      </c>
      <c r="C32" t="inlineStr">
        <is>
          <t>26013451</t>
        </is>
      </c>
      <c r="D32" t="inlineStr">
        <is>
          <t>Engineering &amp; Trades</t>
        </is>
      </c>
      <c r="E32" t="inlineStr">
        <is>
          <t>Active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D3D3D3"/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County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Wayne</t>
        </is>
      </c>
      <c r="B2" t="inlineStr">
        <is>
          <t>49-9021</t>
        </is>
      </c>
      <c r="C2" t="inlineStr">
        <is>
          <t>HVAC Mechanics and Installers</t>
        </is>
      </c>
      <c r="D2" t="n">
        <v>65613</v>
      </c>
      <c r="E2" t="n">
        <v>45000</v>
      </c>
      <c r="F2" t="n">
        <v>41</v>
      </c>
      <c r="G2" t="n">
        <v>50</v>
      </c>
    </row>
    <row r="3">
      <c r="A3" t="inlineStr">
        <is>
          <t>Wayne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73178</v>
      </c>
      <c r="E3" t="n">
        <v>45000</v>
      </c>
      <c r="F3" t="n">
        <v>60</v>
      </c>
      <c r="G3" t="n">
        <v>72</v>
      </c>
    </row>
    <row r="4">
      <c r="A4" t="inlineStr">
        <is>
          <t>Wayne</t>
        </is>
      </c>
      <c r="B4" t="inlineStr">
        <is>
          <t>15-1251</t>
        </is>
      </c>
      <c r="C4" t="inlineStr">
        <is>
          <t>Computer Programmers</t>
        </is>
      </c>
      <c r="D4" t="n">
        <v>44257</v>
      </c>
      <c r="E4" t="n">
        <v>45000</v>
      </c>
      <c r="F4" t="n">
        <v>43</v>
      </c>
      <c r="G4" t="n">
        <v>53</v>
      </c>
    </row>
    <row r="5">
      <c r="A5" t="inlineStr">
        <is>
          <t>Wayne</t>
        </is>
      </c>
      <c r="B5" t="inlineStr">
        <is>
          <t>31-9011</t>
        </is>
      </c>
      <c r="C5" t="inlineStr">
        <is>
          <t>Massage Therapists</t>
        </is>
      </c>
      <c r="D5" t="n">
        <v>38496</v>
      </c>
      <c r="E5" t="n">
        <v>45000</v>
      </c>
      <c r="F5" t="n">
        <v>52</v>
      </c>
      <c r="G5" t="n">
        <v>55</v>
      </c>
    </row>
    <row r="6">
      <c r="A6" t="inlineStr">
        <is>
          <t>Wayne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50565</v>
      </c>
      <c r="E6" t="n">
        <v>45000</v>
      </c>
      <c r="F6" t="n">
        <v>40</v>
      </c>
      <c r="G6" t="n">
        <v>44</v>
      </c>
    </row>
    <row r="7">
      <c r="A7" t="inlineStr">
        <is>
          <t>Wayne</t>
        </is>
      </c>
      <c r="B7" t="inlineStr">
        <is>
          <t>31-9092</t>
        </is>
      </c>
      <c r="C7" t="inlineStr">
        <is>
          <t>Medical Assistants</t>
        </is>
      </c>
      <c r="D7" t="n">
        <v>43577</v>
      </c>
      <c r="E7" t="n">
        <v>45000</v>
      </c>
      <c r="F7" t="n">
        <v>46</v>
      </c>
      <c r="G7" t="n">
        <v>57</v>
      </c>
    </row>
    <row r="8">
      <c r="A8" t="inlineStr">
        <is>
          <t>Wayne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41399</v>
      </c>
      <c r="E8" t="n">
        <v>45000</v>
      </c>
      <c r="F8" t="n">
        <v>36</v>
      </c>
      <c r="G8" t="n">
        <v>44</v>
      </c>
    </row>
    <row r="9">
      <c r="A9" t="inlineStr">
        <is>
          <t>Wayne</t>
        </is>
      </c>
      <c r="B9" t="inlineStr">
        <is>
          <t>29-1141</t>
        </is>
      </c>
      <c r="C9" t="inlineStr">
        <is>
          <t>Registered Nurses</t>
        </is>
      </c>
      <c r="D9" t="n">
        <v>57867</v>
      </c>
      <c r="E9" t="n">
        <v>45000</v>
      </c>
      <c r="F9" t="n">
        <v>36</v>
      </c>
      <c r="G9" t="n">
        <v>44</v>
      </c>
    </row>
    <row r="10">
      <c r="A10" t="inlineStr">
        <is>
          <t>Wayne</t>
        </is>
      </c>
      <c r="B10" t="inlineStr">
        <is>
          <t>41-3031</t>
        </is>
      </c>
      <c r="C10" t="inlineStr">
        <is>
          <t>Securities and Commodities Traders</t>
        </is>
      </c>
      <c r="D10" t="n">
        <v>42143</v>
      </c>
      <c r="E10" t="n">
        <v>45000</v>
      </c>
      <c r="F10" t="n">
        <v>36</v>
      </c>
      <c r="G10" t="n">
        <v>40</v>
      </c>
    </row>
    <row r="11">
      <c r="A11" t="inlineStr">
        <is>
          <t>Wayne</t>
        </is>
      </c>
      <c r="B11" t="inlineStr">
        <is>
          <t>47-2031</t>
        </is>
      </c>
      <c r="C11" t="inlineStr">
        <is>
          <t>Carpenters</t>
        </is>
      </c>
      <c r="D11" t="n">
        <v>51360</v>
      </c>
      <c r="E11" t="n">
        <v>45000</v>
      </c>
      <c r="F11" t="n">
        <v>40</v>
      </c>
      <c r="G11" t="n">
        <v>43</v>
      </c>
    </row>
    <row r="12">
      <c r="A12" t="inlineStr">
        <is>
          <t>Washtenaw</t>
        </is>
      </c>
      <c r="B12" t="inlineStr">
        <is>
          <t>49-9021</t>
        </is>
      </c>
      <c r="C12" t="inlineStr">
        <is>
          <t>HVAC Mechanics and Installers</t>
        </is>
      </c>
      <c r="D12" t="n">
        <v>65314</v>
      </c>
      <c r="E12" t="n">
        <v>48000</v>
      </c>
      <c r="F12" t="n">
        <v>28</v>
      </c>
      <c r="G12" t="n">
        <v>33</v>
      </c>
    </row>
    <row r="13">
      <c r="A13" t="inlineStr">
        <is>
          <t>Washtenaw</t>
        </is>
      </c>
      <c r="B13" t="inlineStr">
        <is>
          <t>11-3021</t>
        </is>
      </c>
      <c r="C13" t="inlineStr">
        <is>
          <t>Computer and Information Systems Managers</t>
        </is>
      </c>
      <c r="D13" t="n">
        <v>69877</v>
      </c>
      <c r="E13" t="n">
        <v>48000</v>
      </c>
      <c r="F13" t="n">
        <v>24</v>
      </c>
      <c r="G13" t="n">
        <v>28</v>
      </c>
    </row>
    <row r="14">
      <c r="A14" t="inlineStr">
        <is>
          <t>Washtenaw</t>
        </is>
      </c>
      <c r="B14" t="inlineStr">
        <is>
          <t>15-1251</t>
        </is>
      </c>
      <c r="C14" t="inlineStr">
        <is>
          <t>Computer Programmers</t>
        </is>
      </c>
      <c r="D14" t="n">
        <v>52401</v>
      </c>
      <c r="E14" t="n">
        <v>48000</v>
      </c>
      <c r="F14" t="n">
        <v>28</v>
      </c>
      <c r="G14" t="n">
        <v>29</v>
      </c>
    </row>
    <row r="15">
      <c r="A15" t="inlineStr">
        <is>
          <t>Washtenaw</t>
        </is>
      </c>
      <c r="B15" t="inlineStr">
        <is>
          <t>31-9011</t>
        </is>
      </c>
      <c r="C15" t="inlineStr">
        <is>
          <t>Massage Therapists</t>
        </is>
      </c>
      <c r="D15" t="n">
        <v>42469</v>
      </c>
      <c r="E15" t="n">
        <v>48000</v>
      </c>
      <c r="F15" t="n">
        <v>19</v>
      </c>
      <c r="G15" t="n">
        <v>21</v>
      </c>
    </row>
    <row r="16">
      <c r="A16" t="inlineStr">
        <is>
          <t>Washtenaw</t>
        </is>
      </c>
      <c r="B16" t="inlineStr">
        <is>
          <t>11-9013</t>
        </is>
      </c>
      <c r="C16" t="inlineStr">
        <is>
          <t>Farmers, Ranchers, and Agricultural Managers</t>
        </is>
      </c>
      <c r="D16" t="n">
        <v>50162</v>
      </c>
      <c r="E16" t="n">
        <v>48000</v>
      </c>
      <c r="F16" t="n">
        <v>24</v>
      </c>
      <c r="G16" t="n">
        <v>25</v>
      </c>
    </row>
    <row r="17">
      <c r="A17" t="inlineStr">
        <is>
          <t>Washtenaw</t>
        </is>
      </c>
      <c r="B17" t="inlineStr">
        <is>
          <t>31-9092</t>
        </is>
      </c>
      <c r="C17" t="inlineStr">
        <is>
          <t>Medical Assistants</t>
        </is>
      </c>
      <c r="D17" t="n">
        <v>79115</v>
      </c>
      <c r="E17" t="n">
        <v>48000</v>
      </c>
      <c r="F17" t="n">
        <v>27</v>
      </c>
      <c r="G17" t="n">
        <v>32</v>
      </c>
    </row>
    <row r="18">
      <c r="A18" t="inlineStr">
        <is>
          <t>Washtenaw</t>
        </is>
      </c>
      <c r="B18" t="inlineStr">
        <is>
          <t>51-4121</t>
        </is>
      </c>
      <c r="C18" t="inlineStr">
        <is>
          <t>Welders, Cutters, Solderers, and Brazers</t>
        </is>
      </c>
      <c r="D18" t="n">
        <v>58486</v>
      </c>
      <c r="E18" t="n">
        <v>48000</v>
      </c>
      <c r="F18" t="n">
        <v>18</v>
      </c>
      <c r="G18" t="n">
        <v>19</v>
      </c>
    </row>
    <row r="19">
      <c r="A19" t="inlineStr">
        <is>
          <t>Washtenaw</t>
        </is>
      </c>
      <c r="B19" t="inlineStr">
        <is>
          <t>29-1141</t>
        </is>
      </c>
      <c r="C19" t="inlineStr">
        <is>
          <t>Registered Nurses</t>
        </is>
      </c>
      <c r="D19" t="n">
        <v>64588</v>
      </c>
      <c r="E19" t="n">
        <v>48000</v>
      </c>
      <c r="F19" t="n">
        <v>25</v>
      </c>
      <c r="G19" t="n">
        <v>30</v>
      </c>
    </row>
    <row r="20">
      <c r="A20" t="inlineStr">
        <is>
          <t>Washtenaw</t>
        </is>
      </c>
      <c r="B20" t="inlineStr">
        <is>
          <t>41-3031</t>
        </is>
      </c>
      <c r="C20" t="inlineStr">
        <is>
          <t>Securities and Commodities Traders</t>
        </is>
      </c>
      <c r="D20" t="n">
        <v>54300</v>
      </c>
      <c r="E20" t="n">
        <v>48000</v>
      </c>
      <c r="F20" t="n">
        <v>22</v>
      </c>
      <c r="G20" t="n">
        <v>23</v>
      </c>
    </row>
    <row r="21">
      <c r="A21" t="inlineStr">
        <is>
          <t>Washtenaw</t>
        </is>
      </c>
      <c r="B21" t="inlineStr">
        <is>
          <t>47-2031</t>
        </is>
      </c>
      <c r="C21" t="inlineStr">
        <is>
          <t>Carpenters</t>
        </is>
      </c>
      <c r="D21" t="n">
        <v>77675</v>
      </c>
      <c r="E21" t="n">
        <v>48000</v>
      </c>
      <c r="F21" t="n">
        <v>31</v>
      </c>
      <c r="G21" t="n">
        <v>37</v>
      </c>
    </row>
    <row r="22">
      <c r="A22" t="inlineStr">
        <is>
          <t>Grand Traverse</t>
        </is>
      </c>
      <c r="B22" t="inlineStr">
        <is>
          <t>49-9021</t>
        </is>
      </c>
      <c r="C22" t="inlineStr">
        <is>
          <t>HVAC Mechanics and Installers</t>
        </is>
      </c>
      <c r="D22" t="n">
        <v>37977</v>
      </c>
      <c r="E22" t="n">
        <v>42000</v>
      </c>
      <c r="F22" t="n">
        <v>12</v>
      </c>
      <c r="G22" t="n">
        <v>14</v>
      </c>
    </row>
    <row r="23">
      <c r="A23" t="inlineStr">
        <is>
          <t>Grand Traverse</t>
        </is>
      </c>
      <c r="B23" t="inlineStr">
        <is>
          <t>11-3021</t>
        </is>
      </c>
      <c r="C23" t="inlineStr">
        <is>
          <t>Computer and Information Systems Managers</t>
        </is>
      </c>
      <c r="D23" t="n">
        <v>50846</v>
      </c>
      <c r="E23" t="n">
        <v>42000</v>
      </c>
      <c r="F23" t="n">
        <v>16</v>
      </c>
      <c r="G23" t="n">
        <v>17</v>
      </c>
    </row>
    <row r="24">
      <c r="A24" t="inlineStr">
        <is>
          <t>Grand Traverse</t>
        </is>
      </c>
      <c r="B24" t="inlineStr">
        <is>
          <t>15-1251</t>
        </is>
      </c>
      <c r="C24" t="inlineStr">
        <is>
          <t>Computer Programmers</t>
        </is>
      </c>
      <c r="D24" t="n">
        <v>45877</v>
      </c>
      <c r="E24" t="n">
        <v>42000</v>
      </c>
      <c r="F24" t="n">
        <v>16</v>
      </c>
      <c r="G24" t="n">
        <v>19</v>
      </c>
    </row>
    <row r="25">
      <c r="A25" t="inlineStr">
        <is>
          <t>Grand Traverse</t>
        </is>
      </c>
      <c r="B25" t="inlineStr">
        <is>
          <t>31-9011</t>
        </is>
      </c>
      <c r="C25" t="inlineStr">
        <is>
          <t>Massage Therapists</t>
        </is>
      </c>
      <c r="D25" t="n">
        <v>62858</v>
      </c>
      <c r="E25" t="n">
        <v>42000</v>
      </c>
      <c r="F25" t="n">
        <v>12</v>
      </c>
      <c r="G25" t="n">
        <v>12</v>
      </c>
    </row>
    <row r="26">
      <c r="A26" t="inlineStr">
        <is>
          <t>Grand Traverse</t>
        </is>
      </c>
      <c r="B26" t="inlineStr">
        <is>
          <t>11-9013</t>
        </is>
      </c>
      <c r="C26" t="inlineStr">
        <is>
          <t>Farmers, Ranchers, and Agricultural Managers</t>
        </is>
      </c>
      <c r="D26" t="n">
        <v>61388</v>
      </c>
      <c r="E26" t="n">
        <v>42000</v>
      </c>
      <c r="F26" t="n">
        <v>10</v>
      </c>
      <c r="G26" t="n">
        <v>10</v>
      </c>
    </row>
    <row r="27">
      <c r="A27" t="inlineStr">
        <is>
          <t>Grand Traverse</t>
        </is>
      </c>
      <c r="B27" t="inlineStr">
        <is>
          <t>31-9092</t>
        </is>
      </c>
      <c r="C27" t="inlineStr">
        <is>
          <t>Medical Assistants</t>
        </is>
      </c>
      <c r="D27" t="n">
        <v>64435</v>
      </c>
      <c r="E27" t="n">
        <v>42000</v>
      </c>
      <c r="F27" t="n">
        <v>11</v>
      </c>
      <c r="G27" t="n">
        <v>12</v>
      </c>
    </row>
    <row r="28">
      <c r="A28" t="inlineStr">
        <is>
          <t>Grand Traverse</t>
        </is>
      </c>
      <c r="B28" t="inlineStr">
        <is>
          <t>51-4121</t>
        </is>
      </c>
      <c r="C28" t="inlineStr">
        <is>
          <t>Welders, Cutters, Solderers, and Brazers</t>
        </is>
      </c>
      <c r="D28" t="n">
        <v>41694</v>
      </c>
      <c r="E28" t="n">
        <v>42000</v>
      </c>
      <c r="F28" t="n">
        <v>11</v>
      </c>
      <c r="G28" t="n">
        <v>12</v>
      </c>
    </row>
    <row r="29">
      <c r="A29" t="inlineStr">
        <is>
          <t>Grand Traverse</t>
        </is>
      </c>
      <c r="B29" t="inlineStr">
        <is>
          <t>29-1141</t>
        </is>
      </c>
      <c r="C29" t="inlineStr">
        <is>
          <t>Registered Nurses</t>
        </is>
      </c>
      <c r="D29" t="n">
        <v>63597</v>
      </c>
      <c r="E29" t="n">
        <v>42000</v>
      </c>
      <c r="F29" t="n">
        <v>14</v>
      </c>
      <c r="G29" t="n">
        <v>14</v>
      </c>
    </row>
    <row r="30">
      <c r="A30" t="inlineStr">
        <is>
          <t>Grand Traverse</t>
        </is>
      </c>
      <c r="B30" t="inlineStr">
        <is>
          <t>41-3031</t>
        </is>
      </c>
      <c r="C30" t="inlineStr">
        <is>
          <t>Securities and Commodities Traders</t>
        </is>
      </c>
      <c r="D30" t="n">
        <v>37496</v>
      </c>
      <c r="E30" t="n">
        <v>42000</v>
      </c>
      <c r="F30" t="n">
        <v>19</v>
      </c>
      <c r="G30" t="n">
        <v>23</v>
      </c>
    </row>
    <row r="31">
      <c r="A31" t="inlineStr">
        <is>
          <t>Grand Traverse</t>
        </is>
      </c>
      <c r="B31" t="inlineStr">
        <is>
          <t>47-2031</t>
        </is>
      </c>
      <c r="C31" t="inlineStr">
        <is>
          <t>Carpenters</t>
        </is>
      </c>
      <c r="D31" t="n">
        <v>57495</v>
      </c>
      <c r="E31" t="n">
        <v>42000</v>
      </c>
      <c r="F31" t="n">
        <v>11</v>
      </c>
      <c r="G31" t="n">
        <v>12</v>
      </c>
    </row>
    <row r="32">
      <c r="A32" t="inlineStr">
        <is>
          <t>Saginaw</t>
        </is>
      </c>
      <c r="B32" t="inlineStr">
        <is>
          <t>49-9021</t>
        </is>
      </c>
      <c r="C32" t="inlineStr">
        <is>
          <t>HVAC Mechanics and Installers</t>
        </is>
      </c>
      <c r="D32" t="n">
        <v>65094</v>
      </c>
      <c r="E32" t="n">
        <v>41000</v>
      </c>
      <c r="F32" t="n">
        <v>24</v>
      </c>
      <c r="G32" t="n">
        <v>25</v>
      </c>
    </row>
    <row r="33">
      <c r="A33" t="inlineStr">
        <is>
          <t>Saginaw</t>
        </is>
      </c>
      <c r="B33" t="inlineStr">
        <is>
          <t>11-3021</t>
        </is>
      </c>
      <c r="C33" t="inlineStr">
        <is>
          <t>Computer and Information Systems Managers</t>
        </is>
      </c>
      <c r="D33" t="n">
        <v>52809</v>
      </c>
      <c r="E33" t="n">
        <v>41000</v>
      </c>
      <c r="F33" t="n">
        <v>25</v>
      </c>
      <c r="G33" t="n">
        <v>29</v>
      </c>
    </row>
    <row r="34">
      <c r="A34" t="inlineStr">
        <is>
          <t>Saginaw</t>
        </is>
      </c>
      <c r="B34" t="inlineStr">
        <is>
          <t>15-1251</t>
        </is>
      </c>
      <c r="C34" t="inlineStr">
        <is>
          <t>Computer Programmers</t>
        </is>
      </c>
      <c r="D34" t="n">
        <v>60323</v>
      </c>
      <c r="E34" t="n">
        <v>41000</v>
      </c>
      <c r="F34" t="n">
        <v>23</v>
      </c>
      <c r="G34" t="n">
        <v>26</v>
      </c>
    </row>
    <row r="35">
      <c r="A35" t="inlineStr">
        <is>
          <t>Saginaw</t>
        </is>
      </c>
      <c r="B35" t="inlineStr">
        <is>
          <t>31-9011</t>
        </is>
      </c>
      <c r="C35" t="inlineStr">
        <is>
          <t>Massage Therapists</t>
        </is>
      </c>
      <c r="D35" t="n">
        <v>57211</v>
      </c>
      <c r="E35" t="n">
        <v>41000</v>
      </c>
      <c r="F35" t="n">
        <v>19</v>
      </c>
      <c r="G35" t="n">
        <v>21</v>
      </c>
    </row>
    <row r="36">
      <c r="A36" t="inlineStr">
        <is>
          <t>Saginaw</t>
        </is>
      </c>
      <c r="B36" t="inlineStr">
        <is>
          <t>11-9013</t>
        </is>
      </c>
      <c r="C36" t="inlineStr">
        <is>
          <t>Farmers, Ranchers, and Agricultural Managers</t>
        </is>
      </c>
      <c r="D36" t="n">
        <v>50559</v>
      </c>
      <c r="E36" t="n">
        <v>41000</v>
      </c>
      <c r="F36" t="n">
        <v>27</v>
      </c>
      <c r="G36" t="n">
        <v>29</v>
      </c>
    </row>
    <row r="37">
      <c r="A37" t="inlineStr">
        <is>
          <t>Saginaw</t>
        </is>
      </c>
      <c r="B37" t="inlineStr">
        <is>
          <t>31-9092</t>
        </is>
      </c>
      <c r="C37" t="inlineStr">
        <is>
          <t>Medical Assistants</t>
        </is>
      </c>
      <c r="D37" t="n">
        <v>51103</v>
      </c>
      <c r="E37" t="n">
        <v>41000</v>
      </c>
      <c r="F37" t="n">
        <v>27</v>
      </c>
      <c r="G37" t="n">
        <v>33</v>
      </c>
    </row>
    <row r="38">
      <c r="A38" t="inlineStr">
        <is>
          <t>Saginaw</t>
        </is>
      </c>
      <c r="B38" t="inlineStr">
        <is>
          <t>51-4121</t>
        </is>
      </c>
      <c r="C38" t="inlineStr">
        <is>
          <t>Welders, Cutters, Solderers, and Brazers</t>
        </is>
      </c>
      <c r="D38" t="n">
        <v>66976</v>
      </c>
      <c r="E38" t="n">
        <v>41000</v>
      </c>
      <c r="F38" t="n">
        <v>19</v>
      </c>
      <c r="G38" t="n">
        <v>22</v>
      </c>
    </row>
    <row r="39">
      <c r="A39" t="inlineStr">
        <is>
          <t>Saginaw</t>
        </is>
      </c>
      <c r="B39" t="inlineStr">
        <is>
          <t>29-1141</t>
        </is>
      </c>
      <c r="C39" t="inlineStr">
        <is>
          <t>Registered Nurses</t>
        </is>
      </c>
      <c r="D39" t="n">
        <v>48144</v>
      </c>
      <c r="E39" t="n">
        <v>41000</v>
      </c>
      <c r="F39" t="n">
        <v>30</v>
      </c>
      <c r="G39" t="n">
        <v>37</v>
      </c>
    </row>
    <row r="40">
      <c r="A40" t="inlineStr">
        <is>
          <t>Saginaw</t>
        </is>
      </c>
      <c r="B40" t="inlineStr">
        <is>
          <t>41-3031</t>
        </is>
      </c>
      <c r="C40" t="inlineStr">
        <is>
          <t>Securities and Commodities Traders</t>
        </is>
      </c>
      <c r="D40" t="n">
        <v>61597</v>
      </c>
      <c r="E40" t="n">
        <v>41000</v>
      </c>
      <c r="F40" t="n">
        <v>19</v>
      </c>
      <c r="G40" t="n">
        <v>22</v>
      </c>
    </row>
    <row r="41">
      <c r="A41" t="inlineStr">
        <is>
          <t>Saginaw</t>
        </is>
      </c>
      <c r="B41" t="inlineStr">
        <is>
          <t>47-2031</t>
        </is>
      </c>
      <c r="C41" t="inlineStr">
        <is>
          <t>Carpenters</t>
        </is>
      </c>
      <c r="D41" t="n">
        <v>45829</v>
      </c>
      <c r="E41" t="n">
        <v>41000</v>
      </c>
      <c r="F41" t="n">
        <v>25</v>
      </c>
      <c r="G41" t="n">
        <v>29</v>
      </c>
    </row>
    <row r="42">
      <c r="A42" t="inlineStr">
        <is>
          <t>Presque Isle</t>
        </is>
      </c>
      <c r="B42" t="inlineStr">
        <is>
          <t>49-9021</t>
        </is>
      </c>
      <c r="C42" t="inlineStr">
        <is>
          <t>HVAC Mechanics and Installers</t>
        </is>
      </c>
      <c r="D42" t="n">
        <v>53433</v>
      </c>
      <c r="E42" t="n">
        <v>38000</v>
      </c>
      <c r="F42" t="n">
        <v>16</v>
      </c>
      <c r="G42" t="n">
        <v>19</v>
      </c>
    </row>
    <row r="43">
      <c r="A43" t="inlineStr">
        <is>
          <t>Presque Isle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48633</v>
      </c>
      <c r="E43" t="n">
        <v>38000</v>
      </c>
      <c r="F43" t="n">
        <v>18</v>
      </c>
      <c r="G43" t="n">
        <v>22</v>
      </c>
    </row>
    <row r="44">
      <c r="A44" t="inlineStr">
        <is>
          <t>Presque Isle</t>
        </is>
      </c>
      <c r="B44" t="inlineStr">
        <is>
          <t>15-1251</t>
        </is>
      </c>
      <c r="C44" t="inlineStr">
        <is>
          <t>Computer Programmers</t>
        </is>
      </c>
      <c r="D44" t="n">
        <v>57257</v>
      </c>
      <c r="E44" t="n">
        <v>38000</v>
      </c>
      <c r="F44" t="n">
        <v>10</v>
      </c>
      <c r="G44" t="n">
        <v>10</v>
      </c>
    </row>
    <row r="45">
      <c r="A45" t="inlineStr">
        <is>
          <t>Presque Isle</t>
        </is>
      </c>
      <c r="B45" t="inlineStr">
        <is>
          <t>31-9011</t>
        </is>
      </c>
      <c r="C45" t="inlineStr">
        <is>
          <t>Massage Therapists</t>
        </is>
      </c>
      <c r="D45" t="n">
        <v>43611</v>
      </c>
      <c r="E45" t="n">
        <v>38000</v>
      </c>
      <c r="F45" t="n">
        <v>11</v>
      </c>
      <c r="G45" t="n">
        <v>11</v>
      </c>
    </row>
    <row r="46">
      <c r="A46" t="inlineStr">
        <is>
          <t>Presque Isle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49524</v>
      </c>
      <c r="E46" t="n">
        <v>38000</v>
      </c>
      <c r="F46" t="n">
        <v>15</v>
      </c>
      <c r="G46" t="n">
        <v>17</v>
      </c>
    </row>
    <row r="47">
      <c r="A47" t="inlineStr">
        <is>
          <t>Presque Isle</t>
        </is>
      </c>
      <c r="B47" t="inlineStr">
        <is>
          <t>31-9092</t>
        </is>
      </c>
      <c r="C47" t="inlineStr">
        <is>
          <t>Medical Assistants</t>
        </is>
      </c>
      <c r="D47" t="n">
        <v>47119</v>
      </c>
      <c r="E47" t="n">
        <v>38000</v>
      </c>
      <c r="F47" t="n">
        <v>17</v>
      </c>
      <c r="G47" t="n">
        <v>18</v>
      </c>
    </row>
    <row r="48">
      <c r="A48" t="inlineStr">
        <is>
          <t>Presque Isle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57362</v>
      </c>
      <c r="E48" t="n">
        <v>38000</v>
      </c>
      <c r="F48" t="n">
        <v>10</v>
      </c>
      <c r="G48" t="n">
        <v>11</v>
      </c>
    </row>
    <row r="49">
      <c r="A49" t="inlineStr">
        <is>
          <t>Presque Isle</t>
        </is>
      </c>
      <c r="B49" t="inlineStr">
        <is>
          <t>29-1141</t>
        </is>
      </c>
      <c r="C49" t="inlineStr">
        <is>
          <t>Registered Nurses</t>
        </is>
      </c>
      <c r="D49" t="n">
        <v>39396</v>
      </c>
      <c r="E49" t="n">
        <v>38000</v>
      </c>
      <c r="F49" t="n">
        <v>13</v>
      </c>
      <c r="G49" t="n">
        <v>15</v>
      </c>
    </row>
    <row r="50">
      <c r="A50" t="inlineStr">
        <is>
          <t>Presque Isle</t>
        </is>
      </c>
      <c r="B50" t="inlineStr">
        <is>
          <t>41-3031</t>
        </is>
      </c>
      <c r="C50" t="inlineStr">
        <is>
          <t>Securities and Commodities Traders</t>
        </is>
      </c>
      <c r="D50" t="n">
        <v>38281</v>
      </c>
      <c r="E50" t="n">
        <v>38000</v>
      </c>
      <c r="F50" t="n">
        <v>13</v>
      </c>
      <c r="G50" t="n">
        <v>15</v>
      </c>
    </row>
    <row r="51">
      <c r="A51" t="inlineStr">
        <is>
          <t>Presque Isle</t>
        </is>
      </c>
      <c r="B51" t="inlineStr">
        <is>
          <t>47-2031</t>
        </is>
      </c>
      <c r="C51" t="inlineStr">
        <is>
          <t>Carpenters</t>
        </is>
      </c>
      <c r="D51" t="n">
        <v>55613</v>
      </c>
      <c r="E51" t="n">
        <v>38000</v>
      </c>
      <c r="F51" t="n">
        <v>11</v>
      </c>
      <c r="G51" t="n">
        <v>13</v>
      </c>
    </row>
    <row r="52">
      <c r="A52" t="inlineStr">
        <is>
          <t>Kent</t>
        </is>
      </c>
      <c r="B52" t="inlineStr">
        <is>
          <t>49-9021</t>
        </is>
      </c>
      <c r="C52" t="inlineStr">
        <is>
          <t>HVAC Mechanics and Installers</t>
        </is>
      </c>
      <c r="D52" t="n">
        <v>43100</v>
      </c>
      <c r="E52" t="n">
        <v>46000</v>
      </c>
      <c r="F52" t="n">
        <v>44</v>
      </c>
      <c r="G52" t="n">
        <v>50</v>
      </c>
    </row>
    <row r="53">
      <c r="A53" t="inlineStr">
        <is>
          <t>Kent</t>
        </is>
      </c>
      <c r="B53" t="inlineStr">
        <is>
          <t>11-3021</t>
        </is>
      </c>
      <c r="C53" t="inlineStr">
        <is>
          <t>Computer and Information Systems Managers</t>
        </is>
      </c>
      <c r="D53" t="n">
        <v>66185</v>
      </c>
      <c r="E53" t="n">
        <v>46000</v>
      </c>
      <c r="F53" t="n">
        <v>49</v>
      </c>
      <c r="G53" t="n">
        <v>53</v>
      </c>
    </row>
    <row r="54">
      <c r="A54" t="inlineStr">
        <is>
          <t>Kent</t>
        </is>
      </c>
      <c r="B54" t="inlineStr">
        <is>
          <t>15-1251</t>
        </is>
      </c>
      <c r="C54" t="inlineStr">
        <is>
          <t>Computer Programmers</t>
        </is>
      </c>
      <c r="D54" t="n">
        <v>68479</v>
      </c>
      <c r="E54" t="n">
        <v>46000</v>
      </c>
      <c r="F54" t="n">
        <v>60</v>
      </c>
      <c r="G54" t="n">
        <v>71</v>
      </c>
    </row>
    <row r="55">
      <c r="A55" t="inlineStr">
        <is>
          <t>Kent</t>
        </is>
      </c>
      <c r="B55" t="inlineStr">
        <is>
          <t>31-9011</t>
        </is>
      </c>
      <c r="C55" t="inlineStr">
        <is>
          <t>Massage Therapists</t>
        </is>
      </c>
      <c r="D55" t="n">
        <v>54654</v>
      </c>
      <c r="E55" t="n">
        <v>46000</v>
      </c>
      <c r="F55" t="n">
        <v>37</v>
      </c>
      <c r="G55" t="n">
        <v>45</v>
      </c>
    </row>
    <row r="56">
      <c r="A56" t="inlineStr">
        <is>
          <t>Kent</t>
        </is>
      </c>
      <c r="B56" t="inlineStr">
        <is>
          <t>11-9013</t>
        </is>
      </c>
      <c r="C56" t="inlineStr">
        <is>
          <t>Farmers, Ranchers, and Agricultural Managers</t>
        </is>
      </c>
      <c r="D56" t="n">
        <v>45889</v>
      </c>
      <c r="E56" t="n">
        <v>46000</v>
      </c>
      <c r="F56" t="n">
        <v>64</v>
      </c>
      <c r="G56" t="n">
        <v>74</v>
      </c>
    </row>
    <row r="57">
      <c r="A57" t="inlineStr">
        <is>
          <t>Kent</t>
        </is>
      </c>
      <c r="B57" t="inlineStr">
        <is>
          <t>31-9092</t>
        </is>
      </c>
      <c r="C57" t="inlineStr">
        <is>
          <t>Medical Assistants</t>
        </is>
      </c>
      <c r="D57" t="n">
        <v>48723</v>
      </c>
      <c r="E57" t="n">
        <v>46000</v>
      </c>
      <c r="F57" t="n">
        <v>64</v>
      </c>
      <c r="G57" t="n">
        <v>73</v>
      </c>
    </row>
    <row r="58">
      <c r="A58" t="inlineStr">
        <is>
          <t>Kent</t>
        </is>
      </c>
      <c r="B58" t="inlineStr">
        <is>
          <t>51-4121</t>
        </is>
      </c>
      <c r="C58" t="inlineStr">
        <is>
          <t>Welders, Cutters, Solderers, and Brazers</t>
        </is>
      </c>
      <c r="D58" t="n">
        <v>47111</v>
      </c>
      <c r="E58" t="n">
        <v>46000</v>
      </c>
      <c r="F58" t="n">
        <v>43</v>
      </c>
      <c r="G58" t="n">
        <v>48</v>
      </c>
    </row>
    <row r="59">
      <c r="A59" t="inlineStr">
        <is>
          <t>Kent</t>
        </is>
      </c>
      <c r="B59" t="inlineStr">
        <is>
          <t>29-1141</t>
        </is>
      </c>
      <c r="C59" t="inlineStr">
        <is>
          <t>Registered Nurses</t>
        </is>
      </c>
      <c r="D59" t="n">
        <v>42376</v>
      </c>
      <c r="E59" t="n">
        <v>46000</v>
      </c>
      <c r="F59" t="n">
        <v>43</v>
      </c>
      <c r="G59" t="n">
        <v>50</v>
      </c>
    </row>
    <row r="60">
      <c r="A60" t="inlineStr">
        <is>
          <t>Kent</t>
        </is>
      </c>
      <c r="B60" t="inlineStr">
        <is>
          <t>41-3031</t>
        </is>
      </c>
      <c r="C60" t="inlineStr">
        <is>
          <t>Securities and Commodities Traders</t>
        </is>
      </c>
      <c r="D60" t="n">
        <v>58724</v>
      </c>
      <c r="E60" t="n">
        <v>46000</v>
      </c>
      <c r="F60" t="n">
        <v>53</v>
      </c>
      <c r="G60" t="n">
        <v>62</v>
      </c>
    </row>
    <row r="61">
      <c r="A61" t="inlineStr">
        <is>
          <t>Kent</t>
        </is>
      </c>
      <c r="B61" t="inlineStr">
        <is>
          <t>47-2031</t>
        </is>
      </c>
      <c r="C61" t="inlineStr">
        <is>
          <t>Carpenters</t>
        </is>
      </c>
      <c r="D61" t="n">
        <v>59088</v>
      </c>
      <c r="E61" t="n">
        <v>46000</v>
      </c>
      <c r="F61" t="n">
        <v>35</v>
      </c>
      <c r="G61" t="n">
        <v>40</v>
      </c>
    </row>
    <row r="62">
      <c r="A62" t="inlineStr">
        <is>
          <t>Oakland</t>
        </is>
      </c>
      <c r="B62" t="inlineStr">
        <is>
          <t>49-9021</t>
        </is>
      </c>
      <c r="C62" t="inlineStr">
        <is>
          <t>HVAC Mechanics and Installers</t>
        </is>
      </c>
      <c r="D62" t="n">
        <v>55994</v>
      </c>
      <c r="E62" t="n">
        <v>52000</v>
      </c>
      <c r="F62" t="n">
        <v>41</v>
      </c>
      <c r="G62" t="n">
        <v>48</v>
      </c>
    </row>
    <row r="63">
      <c r="A63" t="inlineStr">
        <is>
          <t>Oakland</t>
        </is>
      </c>
      <c r="B63" t="inlineStr">
        <is>
          <t>11-3021</t>
        </is>
      </c>
      <c r="C63" t="inlineStr">
        <is>
          <t>Computer and Information Systems Managers</t>
        </is>
      </c>
      <c r="D63" t="n">
        <v>75126</v>
      </c>
      <c r="E63" t="n">
        <v>52000</v>
      </c>
      <c r="F63" t="n">
        <v>64</v>
      </c>
      <c r="G63" t="n">
        <v>74</v>
      </c>
    </row>
    <row r="64">
      <c r="A64" t="inlineStr">
        <is>
          <t>Oakland</t>
        </is>
      </c>
      <c r="B64" t="inlineStr">
        <is>
          <t>15-1251</t>
        </is>
      </c>
      <c r="C64" t="inlineStr">
        <is>
          <t>Computer Programmers</t>
        </is>
      </c>
      <c r="D64" t="n">
        <v>61700</v>
      </c>
      <c r="E64" t="n">
        <v>52000</v>
      </c>
      <c r="F64" t="n">
        <v>61</v>
      </c>
      <c r="G64" t="n">
        <v>71</v>
      </c>
    </row>
    <row r="65">
      <c r="A65" t="inlineStr">
        <is>
          <t>Oakland</t>
        </is>
      </c>
      <c r="B65" t="inlineStr">
        <is>
          <t>31-9011</t>
        </is>
      </c>
      <c r="C65" t="inlineStr">
        <is>
          <t>Massage Therapists</t>
        </is>
      </c>
      <c r="D65" t="n">
        <v>84577</v>
      </c>
      <c r="E65" t="n">
        <v>52000</v>
      </c>
      <c r="F65" t="n">
        <v>52</v>
      </c>
      <c r="G65" t="n">
        <v>59</v>
      </c>
    </row>
    <row r="66">
      <c r="A66" t="inlineStr">
        <is>
          <t>Oakland</t>
        </is>
      </c>
      <c r="B66" t="inlineStr">
        <is>
          <t>11-9013</t>
        </is>
      </c>
      <c r="C66" t="inlineStr">
        <is>
          <t>Farmers, Ranchers, and Agricultural Managers</t>
        </is>
      </c>
      <c r="D66" t="n">
        <v>82328</v>
      </c>
      <c r="E66" t="n">
        <v>52000</v>
      </c>
      <c r="F66" t="n">
        <v>50</v>
      </c>
      <c r="G66" t="n">
        <v>58</v>
      </c>
    </row>
    <row r="67">
      <c r="A67" t="inlineStr">
        <is>
          <t>Oakland</t>
        </is>
      </c>
      <c r="B67" t="inlineStr">
        <is>
          <t>31-9092</t>
        </is>
      </c>
      <c r="C67" t="inlineStr">
        <is>
          <t>Medical Assistants</t>
        </is>
      </c>
      <c r="D67" t="n">
        <v>72156</v>
      </c>
      <c r="E67" t="n">
        <v>52000</v>
      </c>
      <c r="F67" t="n">
        <v>50</v>
      </c>
      <c r="G67" t="n">
        <v>60</v>
      </c>
    </row>
    <row r="68">
      <c r="A68" t="inlineStr">
        <is>
          <t>Oakland</t>
        </is>
      </c>
      <c r="B68" t="inlineStr">
        <is>
          <t>51-4121</t>
        </is>
      </c>
      <c r="C68" t="inlineStr">
        <is>
          <t>Welders, Cutters, Solderers, and Brazers</t>
        </is>
      </c>
      <c r="D68" t="n">
        <v>52589</v>
      </c>
      <c r="E68" t="n">
        <v>52000</v>
      </c>
      <c r="F68" t="n">
        <v>36</v>
      </c>
      <c r="G68" t="n">
        <v>38</v>
      </c>
    </row>
    <row r="69">
      <c r="A69" t="inlineStr">
        <is>
          <t>Oakland</t>
        </is>
      </c>
      <c r="B69" t="inlineStr">
        <is>
          <t>29-1141</t>
        </is>
      </c>
      <c r="C69" t="inlineStr">
        <is>
          <t>Registered Nurses</t>
        </is>
      </c>
      <c r="D69" t="n">
        <v>57409</v>
      </c>
      <c r="E69" t="n">
        <v>52000</v>
      </c>
      <c r="F69" t="n">
        <v>38</v>
      </c>
      <c r="G69" t="n">
        <v>46</v>
      </c>
    </row>
    <row r="70">
      <c r="A70" t="inlineStr">
        <is>
          <t>Oakland</t>
        </is>
      </c>
      <c r="B70" t="inlineStr">
        <is>
          <t>41-3031</t>
        </is>
      </c>
      <c r="C70" t="inlineStr">
        <is>
          <t>Securities and Commodities Traders</t>
        </is>
      </c>
      <c r="D70" t="n">
        <v>67198</v>
      </c>
      <c r="E70" t="n">
        <v>52000</v>
      </c>
      <c r="F70" t="n">
        <v>49</v>
      </c>
      <c r="G70" t="n">
        <v>58</v>
      </c>
    </row>
    <row r="71">
      <c r="A71" t="inlineStr">
        <is>
          <t>Oakland</t>
        </is>
      </c>
      <c r="B71" t="inlineStr">
        <is>
          <t>47-2031</t>
        </is>
      </c>
      <c r="C71" t="inlineStr">
        <is>
          <t>Carpenters</t>
        </is>
      </c>
      <c r="D71" t="n">
        <v>50876</v>
      </c>
      <c r="E71" t="n">
        <v>52000</v>
      </c>
      <c r="F71" t="n">
        <v>47</v>
      </c>
      <c r="G71" t="n">
        <v>49</v>
      </c>
    </row>
    <row r="72">
      <c r="A72" t="inlineStr">
        <is>
          <t>Ingham</t>
        </is>
      </c>
      <c r="B72" t="inlineStr">
        <is>
          <t>49-9021</t>
        </is>
      </c>
      <c r="C72" t="inlineStr">
        <is>
          <t>HVAC Mechanics and Installers</t>
        </is>
      </c>
      <c r="D72" t="n">
        <v>70800</v>
      </c>
      <c r="E72" t="n">
        <v>44000</v>
      </c>
      <c r="F72" t="n">
        <v>29</v>
      </c>
      <c r="G72" t="n">
        <v>30</v>
      </c>
    </row>
    <row r="73">
      <c r="A73" t="inlineStr">
        <is>
          <t>Ingham</t>
        </is>
      </c>
      <c r="B73" t="inlineStr">
        <is>
          <t>11-3021</t>
        </is>
      </c>
      <c r="C73" t="inlineStr">
        <is>
          <t>Computer and Information Systems Managers</t>
        </is>
      </c>
      <c r="D73" t="n">
        <v>42093</v>
      </c>
      <c r="E73" t="n">
        <v>44000</v>
      </c>
      <c r="F73" t="n">
        <v>27</v>
      </c>
      <c r="G73" t="n">
        <v>31</v>
      </c>
    </row>
    <row r="74">
      <c r="A74" t="inlineStr">
        <is>
          <t>Ingham</t>
        </is>
      </c>
      <c r="B74" t="inlineStr">
        <is>
          <t>15-1251</t>
        </is>
      </c>
      <c r="C74" t="inlineStr">
        <is>
          <t>Computer Programmers</t>
        </is>
      </c>
      <c r="D74" t="n">
        <v>51646</v>
      </c>
      <c r="E74" t="n">
        <v>44000</v>
      </c>
      <c r="F74" t="n">
        <v>18</v>
      </c>
      <c r="G74" t="n">
        <v>21</v>
      </c>
    </row>
    <row r="75">
      <c r="A75" t="inlineStr">
        <is>
          <t>Ingham</t>
        </is>
      </c>
      <c r="B75" t="inlineStr">
        <is>
          <t>31-9011</t>
        </is>
      </c>
      <c r="C75" t="inlineStr">
        <is>
          <t>Massage Therapists</t>
        </is>
      </c>
      <c r="D75" t="n">
        <v>38583</v>
      </c>
      <c r="E75" t="n">
        <v>44000</v>
      </c>
      <c r="F75" t="n">
        <v>22</v>
      </c>
      <c r="G75" t="n">
        <v>27</v>
      </c>
    </row>
    <row r="76">
      <c r="A76" t="inlineStr">
        <is>
          <t>Ingham</t>
        </is>
      </c>
      <c r="B76" t="inlineStr">
        <is>
          <t>11-9013</t>
        </is>
      </c>
      <c r="C76" t="inlineStr">
        <is>
          <t>Farmers, Ranchers, and Agricultural Managers</t>
        </is>
      </c>
      <c r="D76" t="n">
        <v>48318</v>
      </c>
      <c r="E76" t="n">
        <v>44000</v>
      </c>
      <c r="F76" t="n">
        <v>30</v>
      </c>
      <c r="G76" t="n">
        <v>31</v>
      </c>
    </row>
    <row r="77">
      <c r="A77" t="inlineStr">
        <is>
          <t>Ingham</t>
        </is>
      </c>
      <c r="B77" t="inlineStr">
        <is>
          <t>31-9092</t>
        </is>
      </c>
      <c r="C77" t="inlineStr">
        <is>
          <t>Medical Assistants</t>
        </is>
      </c>
      <c r="D77" t="n">
        <v>46862</v>
      </c>
      <c r="E77" t="n">
        <v>44000</v>
      </c>
      <c r="F77" t="n">
        <v>17</v>
      </c>
      <c r="G77" t="n">
        <v>18</v>
      </c>
    </row>
    <row r="78">
      <c r="A78" t="inlineStr">
        <is>
          <t>Ingham</t>
        </is>
      </c>
      <c r="B78" t="inlineStr">
        <is>
          <t>51-4121</t>
        </is>
      </c>
      <c r="C78" t="inlineStr">
        <is>
          <t>Welders, Cutters, Solderers, and Brazers</t>
        </is>
      </c>
      <c r="D78" t="n">
        <v>49752</v>
      </c>
      <c r="E78" t="n">
        <v>44000</v>
      </c>
      <c r="F78" t="n">
        <v>22</v>
      </c>
      <c r="G78" t="n">
        <v>23</v>
      </c>
    </row>
    <row r="79">
      <c r="A79" t="inlineStr">
        <is>
          <t>Ingham</t>
        </is>
      </c>
      <c r="B79" t="inlineStr">
        <is>
          <t>29-1141</t>
        </is>
      </c>
      <c r="C79" t="inlineStr">
        <is>
          <t>Registered Nurses</t>
        </is>
      </c>
      <c r="D79" t="n">
        <v>51455</v>
      </c>
      <c r="E79" t="n">
        <v>44000</v>
      </c>
      <c r="F79" t="n">
        <v>18</v>
      </c>
      <c r="G79" t="n">
        <v>22</v>
      </c>
    </row>
    <row r="80">
      <c r="A80" t="inlineStr">
        <is>
          <t>Ingham</t>
        </is>
      </c>
      <c r="B80" t="inlineStr">
        <is>
          <t>41-3031</t>
        </is>
      </c>
      <c r="C80" t="inlineStr">
        <is>
          <t>Securities and Commodities Traders</t>
        </is>
      </c>
      <c r="D80" t="n">
        <v>56229</v>
      </c>
      <c r="E80" t="n">
        <v>44000</v>
      </c>
      <c r="F80" t="n">
        <v>31</v>
      </c>
      <c r="G80" t="n">
        <v>35</v>
      </c>
    </row>
    <row r="81">
      <c r="A81" t="inlineStr">
        <is>
          <t>Ingham</t>
        </is>
      </c>
      <c r="B81" t="inlineStr">
        <is>
          <t>47-2031</t>
        </is>
      </c>
      <c r="C81" t="inlineStr">
        <is>
          <t>Carpenters</t>
        </is>
      </c>
      <c r="D81" t="n">
        <v>53746</v>
      </c>
      <c r="E81" t="n">
        <v>44000</v>
      </c>
      <c r="F81" t="n">
        <v>25</v>
      </c>
      <c r="G81" t="n">
        <v>26</v>
      </c>
    </row>
    <row r="82">
      <c r="A82" t="inlineStr">
        <is>
          <t>Emmet</t>
        </is>
      </c>
      <c r="B82" t="inlineStr">
        <is>
          <t>49-9021</t>
        </is>
      </c>
      <c r="C82" t="inlineStr">
        <is>
          <t>HVAC Mechanics and Installers</t>
        </is>
      </c>
      <c r="D82" t="n">
        <v>57064</v>
      </c>
      <c r="E82" t="n">
        <v>41000</v>
      </c>
      <c r="F82" t="n">
        <v>19</v>
      </c>
      <c r="G82" t="n">
        <v>23</v>
      </c>
    </row>
    <row r="83">
      <c r="A83" t="inlineStr">
        <is>
          <t>Emmet</t>
        </is>
      </c>
      <c r="B83" t="inlineStr">
        <is>
          <t>11-3021</t>
        </is>
      </c>
      <c r="C83" t="inlineStr">
        <is>
          <t>Computer and Information Systems Managers</t>
        </is>
      </c>
      <c r="D83" t="n">
        <v>63937</v>
      </c>
      <c r="E83" t="n">
        <v>41000</v>
      </c>
      <c r="F83" t="n">
        <v>12</v>
      </c>
      <c r="G83" t="n">
        <v>13</v>
      </c>
    </row>
    <row r="84">
      <c r="A84" t="inlineStr">
        <is>
          <t>Emmet</t>
        </is>
      </c>
      <c r="B84" t="inlineStr">
        <is>
          <t>15-1251</t>
        </is>
      </c>
      <c r="C84" t="inlineStr">
        <is>
          <t>Computer Programmers</t>
        </is>
      </c>
      <c r="D84" t="n">
        <v>38295</v>
      </c>
      <c r="E84" t="n">
        <v>41000</v>
      </c>
      <c r="F84" t="n">
        <v>17</v>
      </c>
      <c r="G84" t="n">
        <v>18</v>
      </c>
    </row>
    <row r="85">
      <c r="A85" t="inlineStr">
        <is>
          <t>Emmet</t>
        </is>
      </c>
      <c r="B85" t="inlineStr">
        <is>
          <t>31-9011</t>
        </is>
      </c>
      <c r="C85" t="inlineStr">
        <is>
          <t>Massage Therapists</t>
        </is>
      </c>
      <c r="D85" t="n">
        <v>53844</v>
      </c>
      <c r="E85" t="n">
        <v>41000</v>
      </c>
      <c r="F85" t="n">
        <v>13</v>
      </c>
      <c r="G85" t="n">
        <v>15</v>
      </c>
    </row>
    <row r="86">
      <c r="A86" t="inlineStr">
        <is>
          <t>Emmet</t>
        </is>
      </c>
      <c r="B86" t="inlineStr">
        <is>
          <t>11-9013</t>
        </is>
      </c>
      <c r="C86" t="inlineStr">
        <is>
          <t>Farmers, Ranchers, and Agricultural Managers</t>
        </is>
      </c>
      <c r="D86" t="n">
        <v>57240</v>
      </c>
      <c r="E86" t="n">
        <v>41000</v>
      </c>
      <c r="F86" t="n">
        <v>11</v>
      </c>
      <c r="G86" t="n">
        <v>11</v>
      </c>
    </row>
    <row r="87">
      <c r="A87" t="inlineStr">
        <is>
          <t>Emmet</t>
        </is>
      </c>
      <c r="B87" t="inlineStr">
        <is>
          <t>31-9092</t>
        </is>
      </c>
      <c r="C87" t="inlineStr">
        <is>
          <t>Medical Assistants</t>
        </is>
      </c>
      <c r="D87" t="n">
        <v>57778</v>
      </c>
      <c r="E87" t="n">
        <v>41000</v>
      </c>
      <c r="F87" t="n">
        <v>17</v>
      </c>
      <c r="G87" t="n">
        <v>19</v>
      </c>
    </row>
    <row r="88">
      <c r="A88" t="inlineStr">
        <is>
          <t>Emmet</t>
        </is>
      </c>
      <c r="B88" t="inlineStr">
        <is>
          <t>51-4121</t>
        </is>
      </c>
      <c r="C88" t="inlineStr">
        <is>
          <t>Welders, Cutters, Solderers, and Brazers</t>
        </is>
      </c>
      <c r="D88" t="n">
        <v>48902</v>
      </c>
      <c r="E88" t="n">
        <v>41000</v>
      </c>
      <c r="F88" t="n">
        <v>12</v>
      </c>
      <c r="G88" t="n">
        <v>13</v>
      </c>
    </row>
    <row r="89">
      <c r="A89" t="inlineStr">
        <is>
          <t>Emmet</t>
        </is>
      </c>
      <c r="B89" t="inlineStr">
        <is>
          <t>29-1141</t>
        </is>
      </c>
      <c r="C89" t="inlineStr">
        <is>
          <t>Registered Nurses</t>
        </is>
      </c>
      <c r="D89" t="n">
        <v>50552</v>
      </c>
      <c r="E89" t="n">
        <v>41000</v>
      </c>
      <c r="F89" t="n">
        <v>15</v>
      </c>
      <c r="G89" t="n">
        <v>16</v>
      </c>
    </row>
    <row r="90">
      <c r="A90" t="inlineStr">
        <is>
          <t>Emmet</t>
        </is>
      </c>
      <c r="B90" t="inlineStr">
        <is>
          <t>41-3031</t>
        </is>
      </c>
      <c r="C90" t="inlineStr">
        <is>
          <t>Securities and Commodities Traders</t>
        </is>
      </c>
      <c r="D90" t="n">
        <v>63586</v>
      </c>
      <c r="E90" t="n">
        <v>41000</v>
      </c>
      <c r="F90" t="n">
        <v>17</v>
      </c>
      <c r="G90" t="n">
        <v>19</v>
      </c>
    </row>
    <row r="91">
      <c r="A91" t="inlineStr">
        <is>
          <t>Emmet</t>
        </is>
      </c>
      <c r="B91" t="inlineStr">
        <is>
          <t>47-2031</t>
        </is>
      </c>
      <c r="C91" t="inlineStr">
        <is>
          <t>Carpenters</t>
        </is>
      </c>
      <c r="D91" t="n">
        <v>51877</v>
      </c>
      <c r="E91" t="n">
        <v>41000</v>
      </c>
      <c r="F91" t="n">
        <v>16</v>
      </c>
      <c r="G91" t="n">
        <v>19</v>
      </c>
    </row>
    <row r="92">
      <c r="A92" t="inlineStr">
        <is>
          <t>Schoolcraft</t>
        </is>
      </c>
      <c r="B92" t="inlineStr">
        <is>
          <t>49-9021</t>
        </is>
      </c>
      <c r="C92" t="inlineStr">
        <is>
          <t>HVAC Mechanics and Installers</t>
        </is>
      </c>
      <c r="D92" t="n">
        <v>56624</v>
      </c>
      <c r="E92" t="n">
        <v>39000</v>
      </c>
      <c r="F92" t="n">
        <v>15</v>
      </c>
      <c r="G92" t="n">
        <v>18</v>
      </c>
    </row>
    <row r="93">
      <c r="A93" t="inlineStr">
        <is>
          <t>Schoolcraft</t>
        </is>
      </c>
      <c r="B93" t="inlineStr">
        <is>
          <t>11-3021</t>
        </is>
      </c>
      <c r="C93" t="inlineStr">
        <is>
          <t>Computer and Information Systems Managers</t>
        </is>
      </c>
      <c r="D93" t="n">
        <v>55953</v>
      </c>
      <c r="E93" t="n">
        <v>39000</v>
      </c>
      <c r="F93" t="n">
        <v>16</v>
      </c>
      <c r="G93" t="n">
        <v>19</v>
      </c>
    </row>
    <row r="94">
      <c r="A94" t="inlineStr">
        <is>
          <t>Schoolcraft</t>
        </is>
      </c>
      <c r="B94" t="inlineStr">
        <is>
          <t>15-1251</t>
        </is>
      </c>
      <c r="C94" t="inlineStr">
        <is>
          <t>Computer Programmers</t>
        </is>
      </c>
      <c r="D94" t="n">
        <v>62603</v>
      </c>
      <c r="E94" t="n">
        <v>39000</v>
      </c>
      <c r="F94" t="n">
        <v>17</v>
      </c>
      <c r="G94" t="n">
        <v>19</v>
      </c>
    </row>
    <row r="95">
      <c r="A95" t="inlineStr">
        <is>
          <t>Schoolcraft</t>
        </is>
      </c>
      <c r="B95" t="inlineStr">
        <is>
          <t>31-9011</t>
        </is>
      </c>
      <c r="C95" t="inlineStr">
        <is>
          <t>Massage Therapists</t>
        </is>
      </c>
      <c r="D95" t="n">
        <v>44877</v>
      </c>
      <c r="E95" t="n">
        <v>39000</v>
      </c>
      <c r="F95" t="n">
        <v>13</v>
      </c>
      <c r="G95" t="n">
        <v>15</v>
      </c>
    </row>
    <row r="96">
      <c r="A96" t="inlineStr">
        <is>
          <t>Schoolcraft</t>
        </is>
      </c>
      <c r="B96" t="inlineStr">
        <is>
          <t>11-9013</t>
        </is>
      </c>
      <c r="C96" t="inlineStr">
        <is>
          <t>Farmers, Ranchers, and Agricultural Managers</t>
        </is>
      </c>
      <c r="D96" t="n">
        <v>58279</v>
      </c>
      <c r="E96" t="n">
        <v>39000</v>
      </c>
      <c r="F96" t="n">
        <v>19</v>
      </c>
      <c r="G96" t="n">
        <v>22</v>
      </c>
    </row>
    <row r="97">
      <c r="A97" t="inlineStr">
        <is>
          <t>Schoolcraft</t>
        </is>
      </c>
      <c r="B97" t="inlineStr">
        <is>
          <t>31-9092</t>
        </is>
      </c>
      <c r="C97" t="inlineStr">
        <is>
          <t>Medical Assistants</t>
        </is>
      </c>
      <c r="D97" t="n">
        <v>53728</v>
      </c>
      <c r="E97" t="n">
        <v>39000</v>
      </c>
      <c r="F97" t="n">
        <v>12</v>
      </c>
      <c r="G97" t="n">
        <v>13</v>
      </c>
    </row>
    <row r="98">
      <c r="A98" t="inlineStr">
        <is>
          <t>Schoolcraft</t>
        </is>
      </c>
      <c r="B98" t="inlineStr">
        <is>
          <t>51-4121</t>
        </is>
      </c>
      <c r="C98" t="inlineStr">
        <is>
          <t>Welders, Cutters, Solderers, and Brazers</t>
        </is>
      </c>
      <c r="D98" t="n">
        <v>56340</v>
      </c>
      <c r="E98" t="n">
        <v>39000</v>
      </c>
      <c r="F98" t="n">
        <v>18</v>
      </c>
      <c r="G98" t="n">
        <v>21</v>
      </c>
    </row>
    <row r="99">
      <c r="A99" t="inlineStr">
        <is>
          <t>Schoolcraft</t>
        </is>
      </c>
      <c r="B99" t="inlineStr">
        <is>
          <t>29-1141</t>
        </is>
      </c>
      <c r="C99" t="inlineStr">
        <is>
          <t>Registered Nurses</t>
        </is>
      </c>
      <c r="D99" t="n">
        <v>53434</v>
      </c>
      <c r="E99" t="n">
        <v>39000</v>
      </c>
      <c r="F99" t="n">
        <v>12</v>
      </c>
      <c r="G99" t="n">
        <v>14</v>
      </c>
    </row>
    <row r="100">
      <c r="A100" t="inlineStr">
        <is>
          <t>Schoolcraft</t>
        </is>
      </c>
      <c r="B100" t="inlineStr">
        <is>
          <t>41-3031</t>
        </is>
      </c>
      <c r="C100" t="inlineStr">
        <is>
          <t>Securities and Commodities Traders</t>
        </is>
      </c>
      <c r="D100" t="n">
        <v>55474</v>
      </c>
      <c r="E100" t="n">
        <v>39000</v>
      </c>
      <c r="F100" t="n">
        <v>12</v>
      </c>
      <c r="G100" t="n">
        <v>13</v>
      </c>
    </row>
    <row r="101">
      <c r="A101" t="inlineStr">
        <is>
          <t>Schoolcraft</t>
        </is>
      </c>
      <c r="B101" t="inlineStr">
        <is>
          <t>47-2031</t>
        </is>
      </c>
      <c r="C101" t="inlineStr">
        <is>
          <t>Carpenters</t>
        </is>
      </c>
      <c r="D101" t="n">
        <v>47633</v>
      </c>
      <c r="E101" t="n">
        <v>39000</v>
      </c>
      <c r="F101" t="n">
        <v>11</v>
      </c>
      <c r="G101" t="n">
        <v>12</v>
      </c>
    </row>
    <row r="102">
      <c r="A102" t="inlineStr">
        <is>
          <t>Gogebic</t>
        </is>
      </c>
      <c r="B102" t="inlineStr">
        <is>
          <t>49-9021</t>
        </is>
      </c>
      <c r="C102" t="inlineStr">
        <is>
          <t>HVAC Mechanics and Installers</t>
        </is>
      </c>
      <c r="D102" t="n">
        <v>48921</v>
      </c>
      <c r="E102" t="n">
        <v>38000</v>
      </c>
      <c r="F102" t="n">
        <v>19</v>
      </c>
      <c r="G102" t="n">
        <v>22</v>
      </c>
    </row>
    <row r="103">
      <c r="A103" t="inlineStr">
        <is>
          <t>Gogebic</t>
        </is>
      </c>
      <c r="B103" t="inlineStr">
        <is>
          <t>11-3021</t>
        </is>
      </c>
      <c r="C103" t="inlineStr">
        <is>
          <t>Computer and Information Systems Managers</t>
        </is>
      </c>
      <c r="D103" t="n">
        <v>52240</v>
      </c>
      <c r="E103" t="n">
        <v>38000</v>
      </c>
      <c r="F103" t="n">
        <v>11</v>
      </c>
      <c r="G103" t="n">
        <v>12</v>
      </c>
    </row>
    <row r="104">
      <c r="A104" t="inlineStr">
        <is>
          <t>Gogebic</t>
        </is>
      </c>
      <c r="B104" t="inlineStr">
        <is>
          <t>15-1251</t>
        </is>
      </c>
      <c r="C104" t="inlineStr">
        <is>
          <t>Computer Programmers</t>
        </is>
      </c>
      <c r="D104" t="n">
        <v>59823</v>
      </c>
      <c r="E104" t="n">
        <v>38000</v>
      </c>
      <c r="F104" t="n">
        <v>16</v>
      </c>
      <c r="G104" t="n">
        <v>17</v>
      </c>
    </row>
    <row r="105">
      <c r="A105" t="inlineStr">
        <is>
          <t>Gogebic</t>
        </is>
      </c>
      <c r="B105" t="inlineStr">
        <is>
          <t>31-9011</t>
        </is>
      </c>
      <c r="C105" t="inlineStr">
        <is>
          <t>Massage Therapists</t>
        </is>
      </c>
      <c r="D105" t="n">
        <v>58804</v>
      </c>
      <c r="E105" t="n">
        <v>38000</v>
      </c>
      <c r="F105" t="n">
        <v>15</v>
      </c>
      <c r="G105" t="n">
        <v>16</v>
      </c>
    </row>
    <row r="106">
      <c r="A106" t="inlineStr">
        <is>
          <t>Gogebic</t>
        </is>
      </c>
      <c r="B106" t="inlineStr">
        <is>
          <t>11-9013</t>
        </is>
      </c>
      <c r="C106" t="inlineStr">
        <is>
          <t>Farmers, Ranchers, and Agricultural Managers</t>
        </is>
      </c>
      <c r="D106" t="n">
        <v>33549</v>
      </c>
      <c r="E106" t="n">
        <v>38000</v>
      </c>
      <c r="F106" t="n">
        <v>10</v>
      </c>
      <c r="G106" t="n">
        <v>11</v>
      </c>
    </row>
    <row r="107">
      <c r="A107" t="inlineStr">
        <is>
          <t>Gogebic</t>
        </is>
      </c>
      <c r="B107" t="inlineStr">
        <is>
          <t>31-9092</t>
        </is>
      </c>
      <c r="C107" t="inlineStr">
        <is>
          <t>Medical Assistants</t>
        </is>
      </c>
      <c r="D107" t="n">
        <v>55831</v>
      </c>
      <c r="E107" t="n">
        <v>38000</v>
      </c>
      <c r="F107" t="n">
        <v>14</v>
      </c>
      <c r="G107" t="n">
        <v>16</v>
      </c>
    </row>
    <row r="108">
      <c r="A108" t="inlineStr">
        <is>
          <t>Gogebic</t>
        </is>
      </c>
      <c r="B108" t="inlineStr">
        <is>
          <t>51-4121</t>
        </is>
      </c>
      <c r="C108" t="inlineStr">
        <is>
          <t>Welders, Cutters, Solderers, and Brazers</t>
        </is>
      </c>
      <c r="D108" t="n">
        <v>42320</v>
      </c>
      <c r="E108" t="n">
        <v>38000</v>
      </c>
      <c r="F108" t="n">
        <v>12</v>
      </c>
      <c r="G108" t="n">
        <v>13</v>
      </c>
    </row>
    <row r="109">
      <c r="A109" t="inlineStr">
        <is>
          <t>Gogebic</t>
        </is>
      </c>
      <c r="B109" t="inlineStr">
        <is>
          <t>29-1141</t>
        </is>
      </c>
      <c r="C109" t="inlineStr">
        <is>
          <t>Registered Nurses</t>
        </is>
      </c>
      <c r="D109" t="n">
        <v>57967</v>
      </c>
      <c r="E109" t="n">
        <v>38000</v>
      </c>
      <c r="F109" t="n">
        <v>19</v>
      </c>
      <c r="G109" t="n">
        <v>23</v>
      </c>
    </row>
    <row r="110">
      <c r="A110" t="inlineStr">
        <is>
          <t>Gogebic</t>
        </is>
      </c>
      <c r="B110" t="inlineStr">
        <is>
          <t>41-3031</t>
        </is>
      </c>
      <c r="C110" t="inlineStr">
        <is>
          <t>Securities and Commodities Traders</t>
        </is>
      </c>
      <c r="D110" t="n">
        <v>48730</v>
      </c>
      <c r="E110" t="n">
        <v>38000</v>
      </c>
      <c r="F110" t="n">
        <v>18</v>
      </c>
      <c r="G110" t="n">
        <v>19</v>
      </c>
    </row>
    <row r="111">
      <c r="A111" t="inlineStr">
        <is>
          <t>Gogebic</t>
        </is>
      </c>
      <c r="B111" t="inlineStr">
        <is>
          <t>47-2031</t>
        </is>
      </c>
      <c r="C111" t="inlineStr">
        <is>
          <t>Carpenters</t>
        </is>
      </c>
      <c r="D111" t="n">
        <v>44391</v>
      </c>
      <c r="E111" t="n">
        <v>38000</v>
      </c>
      <c r="F111" t="n">
        <v>11</v>
      </c>
      <c r="G111" t="n">
        <v>12</v>
      </c>
    </row>
    <row r="112">
      <c r="A112" t="inlineStr">
        <is>
          <t>Midland</t>
        </is>
      </c>
      <c r="B112" t="inlineStr">
        <is>
          <t>49-9021</t>
        </is>
      </c>
      <c r="C112" t="inlineStr">
        <is>
          <t>HVAC Mechanics and Installers</t>
        </is>
      </c>
      <c r="D112" t="n">
        <v>54080</v>
      </c>
      <c r="E112" t="n">
        <v>47000</v>
      </c>
      <c r="F112" t="n">
        <v>17</v>
      </c>
      <c r="G112" t="n">
        <v>18</v>
      </c>
    </row>
    <row r="113">
      <c r="A113" t="inlineStr">
        <is>
          <t>Midland</t>
        </is>
      </c>
      <c r="B113" t="inlineStr">
        <is>
          <t>11-3021</t>
        </is>
      </c>
      <c r="C113" t="inlineStr">
        <is>
          <t>Computer and Information Systems Managers</t>
        </is>
      </c>
      <c r="D113" t="n">
        <v>60593</v>
      </c>
      <c r="E113" t="n">
        <v>47000</v>
      </c>
      <c r="F113" t="n">
        <v>13</v>
      </c>
      <c r="G113" t="n">
        <v>13</v>
      </c>
    </row>
    <row r="114">
      <c r="A114" t="inlineStr">
        <is>
          <t>Midland</t>
        </is>
      </c>
      <c r="B114" t="inlineStr">
        <is>
          <t>15-1251</t>
        </is>
      </c>
      <c r="C114" t="inlineStr">
        <is>
          <t>Computer Programmers</t>
        </is>
      </c>
      <c r="D114" t="n">
        <v>56670</v>
      </c>
      <c r="E114" t="n">
        <v>47000</v>
      </c>
      <c r="F114" t="n">
        <v>13</v>
      </c>
      <c r="G114" t="n">
        <v>14</v>
      </c>
    </row>
    <row r="115">
      <c r="A115" t="inlineStr">
        <is>
          <t>Midland</t>
        </is>
      </c>
      <c r="B115" t="inlineStr">
        <is>
          <t>31-9011</t>
        </is>
      </c>
      <c r="C115" t="inlineStr">
        <is>
          <t>Massage Therapists</t>
        </is>
      </c>
      <c r="D115" t="n">
        <v>56134</v>
      </c>
      <c r="E115" t="n">
        <v>47000</v>
      </c>
      <c r="F115" t="n">
        <v>14</v>
      </c>
      <c r="G115" t="n">
        <v>16</v>
      </c>
    </row>
    <row r="116">
      <c r="A116" t="inlineStr">
        <is>
          <t>Midland</t>
        </is>
      </c>
      <c r="B116" t="inlineStr">
        <is>
          <t>11-9013</t>
        </is>
      </c>
      <c r="C116" t="inlineStr">
        <is>
          <t>Farmers, Ranchers, and Agricultural Managers</t>
        </is>
      </c>
      <c r="D116" t="n">
        <v>74611</v>
      </c>
      <c r="E116" t="n">
        <v>47000</v>
      </c>
      <c r="F116" t="n">
        <v>19</v>
      </c>
      <c r="G116" t="n">
        <v>19</v>
      </c>
    </row>
    <row r="117">
      <c r="A117" t="inlineStr">
        <is>
          <t>Midland</t>
        </is>
      </c>
      <c r="B117" t="inlineStr">
        <is>
          <t>31-9092</t>
        </is>
      </c>
      <c r="C117" t="inlineStr">
        <is>
          <t>Medical Assistants</t>
        </is>
      </c>
      <c r="D117" t="n">
        <v>51652</v>
      </c>
      <c r="E117" t="n">
        <v>47000</v>
      </c>
      <c r="F117" t="n">
        <v>17</v>
      </c>
      <c r="G117" t="n">
        <v>17</v>
      </c>
    </row>
    <row r="118">
      <c r="A118" t="inlineStr">
        <is>
          <t>Midland</t>
        </is>
      </c>
      <c r="B118" t="inlineStr">
        <is>
          <t>51-4121</t>
        </is>
      </c>
      <c r="C118" t="inlineStr">
        <is>
          <t>Welders, Cutters, Solderers, and Brazers</t>
        </is>
      </c>
      <c r="D118" t="n">
        <v>59660</v>
      </c>
      <c r="E118" t="n">
        <v>47000</v>
      </c>
      <c r="F118" t="n">
        <v>13</v>
      </c>
      <c r="G118" t="n">
        <v>16</v>
      </c>
    </row>
    <row r="119">
      <c r="A119" t="inlineStr">
        <is>
          <t>Midland</t>
        </is>
      </c>
      <c r="B119" t="inlineStr">
        <is>
          <t>29-1141</t>
        </is>
      </c>
      <c r="C119" t="inlineStr">
        <is>
          <t>Registered Nurses</t>
        </is>
      </c>
      <c r="D119" t="n">
        <v>76446</v>
      </c>
      <c r="E119" t="n">
        <v>47000</v>
      </c>
      <c r="F119" t="n">
        <v>19</v>
      </c>
      <c r="G119" t="n">
        <v>22</v>
      </c>
    </row>
    <row r="120">
      <c r="A120" t="inlineStr">
        <is>
          <t>Midland</t>
        </is>
      </c>
      <c r="B120" t="inlineStr">
        <is>
          <t>41-3031</t>
        </is>
      </c>
      <c r="C120" t="inlineStr">
        <is>
          <t>Securities and Commodities Traders</t>
        </is>
      </c>
      <c r="D120" t="n">
        <v>45118</v>
      </c>
      <c r="E120" t="n">
        <v>47000</v>
      </c>
      <c r="F120" t="n">
        <v>18</v>
      </c>
      <c r="G120" t="n">
        <v>21</v>
      </c>
    </row>
    <row r="121">
      <c r="A121" t="inlineStr">
        <is>
          <t>Midland</t>
        </is>
      </c>
      <c r="B121" t="inlineStr">
        <is>
          <t>47-2031</t>
        </is>
      </c>
      <c r="C121" t="inlineStr">
        <is>
          <t>Carpenters</t>
        </is>
      </c>
      <c r="D121" t="n">
        <v>44881</v>
      </c>
      <c r="E121" t="n">
        <v>47000</v>
      </c>
      <c r="F121" t="n">
        <v>14</v>
      </c>
      <c r="G121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D3D3D3"/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CEPD_Region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Southeast</t>
        </is>
      </c>
      <c r="B2" t="inlineStr">
        <is>
          <t>49-9021</t>
        </is>
      </c>
      <c r="C2" t="inlineStr">
        <is>
          <t>HVAC Mechanics and Installers</t>
        </is>
      </c>
      <c r="D2" t="n">
        <v>54631</v>
      </c>
      <c r="E2" t="n">
        <v>43000</v>
      </c>
      <c r="F2" t="n">
        <v>36</v>
      </c>
      <c r="G2" t="n">
        <v>38</v>
      </c>
    </row>
    <row r="3">
      <c r="A3" t="inlineStr">
        <is>
          <t>Southeast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52797</v>
      </c>
      <c r="E3" t="n">
        <v>43000</v>
      </c>
      <c r="F3" t="n">
        <v>131</v>
      </c>
      <c r="G3" t="n">
        <v>145</v>
      </c>
    </row>
    <row r="4">
      <c r="A4" t="inlineStr">
        <is>
          <t>Southeast</t>
        </is>
      </c>
      <c r="B4" t="inlineStr">
        <is>
          <t>15-1251</t>
        </is>
      </c>
      <c r="C4" t="inlineStr">
        <is>
          <t>Computer Programmers</t>
        </is>
      </c>
      <c r="D4" t="n">
        <v>56604</v>
      </c>
      <c r="E4" t="n">
        <v>43000</v>
      </c>
      <c r="F4" t="n">
        <v>33</v>
      </c>
      <c r="G4" t="n">
        <v>39</v>
      </c>
    </row>
    <row r="5">
      <c r="A5" t="inlineStr">
        <is>
          <t>Southeast</t>
        </is>
      </c>
      <c r="B5" t="inlineStr">
        <is>
          <t>31-9011</t>
        </is>
      </c>
      <c r="C5" t="inlineStr">
        <is>
          <t>Massage Therapists</t>
        </is>
      </c>
      <c r="D5" t="n">
        <v>45665</v>
      </c>
      <c r="E5" t="n">
        <v>43000</v>
      </c>
      <c r="F5" t="n">
        <v>88</v>
      </c>
      <c r="G5" t="n">
        <v>93</v>
      </c>
    </row>
    <row r="6">
      <c r="A6" t="inlineStr">
        <is>
          <t>Southeast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64070</v>
      </c>
      <c r="E6" t="n">
        <v>43000</v>
      </c>
      <c r="F6" t="n">
        <v>143</v>
      </c>
      <c r="G6" t="n">
        <v>161</v>
      </c>
    </row>
    <row r="7">
      <c r="A7" t="inlineStr">
        <is>
          <t>Southeast</t>
        </is>
      </c>
      <c r="B7" t="inlineStr">
        <is>
          <t>31-9092</t>
        </is>
      </c>
      <c r="C7" t="inlineStr">
        <is>
          <t>Medical Assistants</t>
        </is>
      </c>
      <c r="D7" t="n">
        <v>39889</v>
      </c>
      <c r="E7" t="n">
        <v>43000</v>
      </c>
      <c r="F7" t="n">
        <v>147</v>
      </c>
      <c r="G7" t="n">
        <v>175</v>
      </c>
    </row>
    <row r="8">
      <c r="A8" t="inlineStr">
        <is>
          <t>Southeast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50751</v>
      </c>
      <c r="E8" t="n">
        <v>43000</v>
      </c>
      <c r="F8" t="n">
        <v>143</v>
      </c>
      <c r="G8" t="n">
        <v>168</v>
      </c>
    </row>
    <row r="9">
      <c r="A9" t="inlineStr">
        <is>
          <t>Southeast</t>
        </is>
      </c>
      <c r="B9" t="inlineStr">
        <is>
          <t>29-1141</t>
        </is>
      </c>
      <c r="C9" t="inlineStr">
        <is>
          <t>Registered Nurses</t>
        </is>
      </c>
      <c r="D9" t="n">
        <v>56421</v>
      </c>
      <c r="E9" t="n">
        <v>43000</v>
      </c>
      <c r="F9" t="n">
        <v>80</v>
      </c>
      <c r="G9" t="n">
        <v>85</v>
      </c>
    </row>
    <row r="10">
      <c r="A10" t="inlineStr">
        <is>
          <t>Northwest</t>
        </is>
      </c>
      <c r="B10" t="inlineStr">
        <is>
          <t>49-9021</t>
        </is>
      </c>
      <c r="C10" t="inlineStr">
        <is>
          <t>HVAC Mechanics and Installers</t>
        </is>
      </c>
      <c r="D10" t="n">
        <v>54362</v>
      </c>
      <c r="E10" t="n">
        <v>46000</v>
      </c>
      <c r="F10" t="n">
        <v>129</v>
      </c>
      <c r="G10" t="n">
        <v>150</v>
      </c>
    </row>
    <row r="11">
      <c r="A11" t="inlineStr">
        <is>
          <t>Northwest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65169</v>
      </c>
      <c r="E11" t="n">
        <v>46000</v>
      </c>
      <c r="F11" t="n">
        <v>53</v>
      </c>
      <c r="G11" t="n">
        <v>59</v>
      </c>
    </row>
    <row r="12">
      <c r="A12" t="inlineStr">
        <is>
          <t>Northwest</t>
        </is>
      </c>
      <c r="B12" t="inlineStr">
        <is>
          <t>15-1251</t>
        </is>
      </c>
      <c r="C12" t="inlineStr">
        <is>
          <t>Computer Programmers</t>
        </is>
      </c>
      <c r="D12" t="n">
        <v>48942</v>
      </c>
      <c r="E12" t="n">
        <v>46000</v>
      </c>
      <c r="F12" t="n">
        <v>123</v>
      </c>
      <c r="G12" t="n">
        <v>136</v>
      </c>
    </row>
    <row r="13">
      <c r="A13" t="inlineStr">
        <is>
          <t>Northwest</t>
        </is>
      </c>
      <c r="B13" t="inlineStr">
        <is>
          <t>31-9011</t>
        </is>
      </c>
      <c r="C13" t="inlineStr">
        <is>
          <t>Massage Therapists</t>
        </is>
      </c>
      <c r="D13" t="n">
        <v>56015</v>
      </c>
      <c r="E13" t="n">
        <v>46000</v>
      </c>
      <c r="F13" t="n">
        <v>139</v>
      </c>
      <c r="G13" t="n">
        <v>156</v>
      </c>
    </row>
    <row r="14">
      <c r="A14" t="inlineStr">
        <is>
          <t>Northwest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42299</v>
      </c>
      <c r="E14" t="n">
        <v>46000</v>
      </c>
      <c r="F14" t="n">
        <v>75</v>
      </c>
      <c r="G14" t="n">
        <v>82</v>
      </c>
    </row>
    <row r="15">
      <c r="A15" t="inlineStr">
        <is>
          <t>Northwest</t>
        </is>
      </c>
      <c r="B15" t="inlineStr">
        <is>
          <t>31-9092</t>
        </is>
      </c>
      <c r="C15" t="inlineStr">
        <is>
          <t>Medical Assistants</t>
        </is>
      </c>
      <c r="D15" t="n">
        <v>64928</v>
      </c>
      <c r="E15" t="n">
        <v>46000</v>
      </c>
      <c r="F15" t="n">
        <v>135</v>
      </c>
      <c r="G15" t="n">
        <v>147</v>
      </c>
    </row>
    <row r="16">
      <c r="A16" t="inlineStr">
        <is>
          <t>Northwest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46281</v>
      </c>
      <c r="E16" t="n">
        <v>46000</v>
      </c>
      <c r="F16" t="n">
        <v>96</v>
      </c>
      <c r="G16" t="n">
        <v>104</v>
      </c>
    </row>
    <row r="17">
      <c r="A17" t="inlineStr">
        <is>
          <t>Northwest</t>
        </is>
      </c>
      <c r="B17" t="inlineStr">
        <is>
          <t>29-1141</t>
        </is>
      </c>
      <c r="C17" t="inlineStr">
        <is>
          <t>Registered Nurses</t>
        </is>
      </c>
      <c r="D17" t="n">
        <v>44154</v>
      </c>
      <c r="E17" t="n">
        <v>46000</v>
      </c>
      <c r="F17" t="n">
        <v>89</v>
      </c>
      <c r="G17" t="n">
        <v>101</v>
      </c>
    </row>
    <row r="18">
      <c r="A18" t="inlineStr">
        <is>
          <t>East Central</t>
        </is>
      </c>
      <c r="B18" t="inlineStr">
        <is>
          <t>49-9021</t>
        </is>
      </c>
      <c r="C18" t="inlineStr">
        <is>
          <t>HVAC Mechanics and Installers</t>
        </is>
      </c>
      <c r="D18" t="n">
        <v>53117</v>
      </c>
      <c r="E18" t="n">
        <v>40000</v>
      </c>
      <c r="F18" t="n">
        <v>75</v>
      </c>
      <c r="G18" t="n">
        <v>84</v>
      </c>
    </row>
    <row r="19">
      <c r="A19" t="inlineStr">
        <is>
          <t>East Central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57449</v>
      </c>
      <c r="E19" t="n">
        <v>40000</v>
      </c>
      <c r="F19" t="n">
        <v>53</v>
      </c>
      <c r="G19" t="n">
        <v>56</v>
      </c>
    </row>
    <row r="20">
      <c r="A20" t="inlineStr">
        <is>
          <t>East Central</t>
        </is>
      </c>
      <c r="B20" t="inlineStr">
        <is>
          <t>15-1251</t>
        </is>
      </c>
      <c r="C20" t="inlineStr">
        <is>
          <t>Computer Programmers</t>
        </is>
      </c>
      <c r="D20" t="n">
        <v>41365</v>
      </c>
      <c r="E20" t="n">
        <v>40000</v>
      </c>
      <c r="F20" t="n">
        <v>132</v>
      </c>
      <c r="G20" t="n">
        <v>157</v>
      </c>
    </row>
    <row r="21">
      <c r="A21" t="inlineStr">
        <is>
          <t>East Central</t>
        </is>
      </c>
      <c r="B21" t="inlineStr">
        <is>
          <t>31-9011</t>
        </is>
      </c>
      <c r="C21" t="inlineStr">
        <is>
          <t>Massage Therapists</t>
        </is>
      </c>
      <c r="D21" t="n">
        <v>55497</v>
      </c>
      <c r="E21" t="n">
        <v>40000</v>
      </c>
      <c r="F21" t="n">
        <v>71</v>
      </c>
      <c r="G21" t="n">
        <v>76</v>
      </c>
    </row>
    <row r="22">
      <c r="A22" t="inlineStr">
        <is>
          <t>East Central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52694</v>
      </c>
      <c r="E22" t="n">
        <v>40000</v>
      </c>
      <c r="F22" t="n">
        <v>99</v>
      </c>
      <c r="G22" t="n">
        <v>114</v>
      </c>
    </row>
    <row r="23">
      <c r="A23" t="inlineStr">
        <is>
          <t>East Central</t>
        </is>
      </c>
      <c r="B23" t="inlineStr">
        <is>
          <t>31-9092</t>
        </is>
      </c>
      <c r="C23" t="inlineStr">
        <is>
          <t>Medical Assistants</t>
        </is>
      </c>
      <c r="D23" t="n">
        <v>59350</v>
      </c>
      <c r="E23" t="n">
        <v>40000</v>
      </c>
      <c r="F23" t="n">
        <v>140</v>
      </c>
      <c r="G23" t="n">
        <v>161</v>
      </c>
    </row>
    <row r="24">
      <c r="A24" t="inlineStr">
        <is>
          <t>East Central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58117</v>
      </c>
      <c r="E24" t="n">
        <v>40000</v>
      </c>
      <c r="F24" t="n">
        <v>138</v>
      </c>
      <c r="G24" t="n">
        <v>161</v>
      </c>
    </row>
    <row r="25">
      <c r="A25" t="inlineStr">
        <is>
          <t>East Central</t>
        </is>
      </c>
      <c r="B25" t="inlineStr">
        <is>
          <t>29-1141</t>
        </is>
      </c>
      <c r="C25" t="inlineStr">
        <is>
          <t>Registered Nurses</t>
        </is>
      </c>
      <c r="D25" t="n">
        <v>58308</v>
      </c>
      <c r="E25" t="n">
        <v>40000</v>
      </c>
      <c r="F25" t="n">
        <v>143</v>
      </c>
      <c r="G25" t="n">
        <v>158</v>
      </c>
    </row>
    <row r="26">
      <c r="A26" t="inlineStr">
        <is>
          <t>Northeast</t>
        </is>
      </c>
      <c r="B26" t="inlineStr">
        <is>
          <t>49-9021</t>
        </is>
      </c>
      <c r="C26" t="inlineStr">
        <is>
          <t>HVAC Mechanics and Installers</t>
        </is>
      </c>
      <c r="D26" t="n">
        <v>72511</v>
      </c>
      <c r="E26" t="n">
        <v>49000</v>
      </c>
      <c r="F26" t="n">
        <v>109</v>
      </c>
      <c r="G26" t="n">
        <v>121</v>
      </c>
    </row>
    <row r="27">
      <c r="A27" t="inlineStr">
        <is>
          <t>Northeast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62854</v>
      </c>
      <c r="E27" t="n">
        <v>49000</v>
      </c>
      <c r="F27" t="n">
        <v>82</v>
      </c>
      <c r="G27" t="n">
        <v>87</v>
      </c>
    </row>
    <row r="28">
      <c r="A28" t="inlineStr">
        <is>
          <t>Northeast</t>
        </is>
      </c>
      <c r="B28" t="inlineStr">
        <is>
          <t>15-1251</t>
        </is>
      </c>
      <c r="C28" t="inlineStr">
        <is>
          <t>Computer Programmers</t>
        </is>
      </c>
      <c r="D28" t="n">
        <v>48418</v>
      </c>
      <c r="E28" t="n">
        <v>49000</v>
      </c>
      <c r="F28" t="n">
        <v>126</v>
      </c>
      <c r="G28" t="n">
        <v>133</v>
      </c>
    </row>
    <row r="29">
      <c r="A29" t="inlineStr">
        <is>
          <t>Northeast</t>
        </is>
      </c>
      <c r="B29" t="inlineStr">
        <is>
          <t>31-9011</t>
        </is>
      </c>
      <c r="C29" t="inlineStr">
        <is>
          <t>Massage Therapists</t>
        </is>
      </c>
      <c r="D29" t="n">
        <v>69230</v>
      </c>
      <c r="E29" t="n">
        <v>49000</v>
      </c>
      <c r="F29" t="n">
        <v>134</v>
      </c>
      <c r="G29" t="n">
        <v>143</v>
      </c>
    </row>
    <row r="30">
      <c r="A30" t="inlineStr">
        <is>
          <t>Northeast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49441</v>
      </c>
      <c r="E30" t="n">
        <v>49000</v>
      </c>
      <c r="F30" t="n">
        <v>80</v>
      </c>
      <c r="G30" t="n">
        <v>89</v>
      </c>
    </row>
    <row r="31">
      <c r="A31" t="inlineStr">
        <is>
          <t>Northeast</t>
        </is>
      </c>
      <c r="B31" t="inlineStr">
        <is>
          <t>31-9092</t>
        </is>
      </c>
      <c r="C31" t="inlineStr">
        <is>
          <t>Medical Assistants</t>
        </is>
      </c>
      <c r="D31" t="n">
        <v>63945</v>
      </c>
      <c r="E31" t="n">
        <v>49000</v>
      </c>
      <c r="F31" t="n">
        <v>139</v>
      </c>
      <c r="G31" t="n">
        <v>146</v>
      </c>
    </row>
    <row r="32">
      <c r="A32" t="inlineStr">
        <is>
          <t>Northeast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48395</v>
      </c>
      <c r="E32" t="n">
        <v>49000</v>
      </c>
      <c r="F32" t="n">
        <v>95</v>
      </c>
      <c r="G32" t="n">
        <v>108</v>
      </c>
    </row>
    <row r="33">
      <c r="A33" t="inlineStr">
        <is>
          <t>Northeast</t>
        </is>
      </c>
      <c r="B33" t="inlineStr">
        <is>
          <t>29-1141</t>
        </is>
      </c>
      <c r="C33" t="inlineStr">
        <is>
          <t>Registered Nurses</t>
        </is>
      </c>
      <c r="D33" t="n">
        <v>49450</v>
      </c>
      <c r="E33" t="n">
        <v>49000</v>
      </c>
      <c r="F33" t="n">
        <v>45</v>
      </c>
      <c r="G33" t="n">
        <v>50</v>
      </c>
    </row>
    <row r="34">
      <c r="A34" t="inlineStr">
        <is>
          <t>West</t>
        </is>
      </c>
      <c r="B34" t="inlineStr">
        <is>
          <t>49-9021</t>
        </is>
      </c>
      <c r="C34" t="inlineStr">
        <is>
          <t>HVAC Mechanics and Installers</t>
        </is>
      </c>
      <c r="D34" t="n">
        <v>56151</v>
      </c>
      <c r="E34" t="n">
        <v>46000</v>
      </c>
      <c r="F34" t="n">
        <v>36</v>
      </c>
      <c r="G34" t="n">
        <v>40</v>
      </c>
    </row>
    <row r="35">
      <c r="A35" t="inlineStr">
        <is>
          <t>West</t>
        </is>
      </c>
      <c r="B35" t="inlineStr">
        <is>
          <t>11-3021</t>
        </is>
      </c>
      <c r="C35" t="inlineStr">
        <is>
          <t>Computer and Information Systems Managers</t>
        </is>
      </c>
      <c r="D35" t="n">
        <v>44623</v>
      </c>
      <c r="E35" t="n">
        <v>46000</v>
      </c>
      <c r="F35" t="n">
        <v>30</v>
      </c>
      <c r="G35" t="n">
        <v>32</v>
      </c>
    </row>
    <row r="36">
      <c r="A36" t="inlineStr">
        <is>
          <t>West</t>
        </is>
      </c>
      <c r="B36" t="inlineStr">
        <is>
          <t>15-1251</t>
        </is>
      </c>
      <c r="C36" t="inlineStr">
        <is>
          <t>Computer Programmers</t>
        </is>
      </c>
      <c r="D36" t="n">
        <v>60726</v>
      </c>
      <c r="E36" t="n">
        <v>46000</v>
      </c>
      <c r="F36" t="n">
        <v>148</v>
      </c>
      <c r="G36" t="n">
        <v>161</v>
      </c>
    </row>
    <row r="37">
      <c r="A37" t="inlineStr">
        <is>
          <t>West</t>
        </is>
      </c>
      <c r="B37" t="inlineStr">
        <is>
          <t>31-9011</t>
        </is>
      </c>
      <c r="C37" t="inlineStr">
        <is>
          <t>Massage Therapists</t>
        </is>
      </c>
      <c r="D37" t="n">
        <v>57810</v>
      </c>
      <c r="E37" t="n">
        <v>46000</v>
      </c>
      <c r="F37" t="n">
        <v>55</v>
      </c>
      <c r="G37" t="n">
        <v>59</v>
      </c>
    </row>
    <row r="38">
      <c r="A38" t="inlineStr">
        <is>
          <t>West</t>
        </is>
      </c>
      <c r="B38" t="inlineStr">
        <is>
          <t>11-9013</t>
        </is>
      </c>
      <c r="C38" t="inlineStr">
        <is>
          <t>Farmers, Ranchers, and Agricultural Managers</t>
        </is>
      </c>
      <c r="D38" t="n">
        <v>49341</v>
      </c>
      <c r="E38" t="n">
        <v>46000</v>
      </c>
      <c r="F38" t="n">
        <v>143</v>
      </c>
      <c r="G38" t="n">
        <v>154</v>
      </c>
    </row>
    <row r="39">
      <c r="A39" t="inlineStr">
        <is>
          <t>West</t>
        </is>
      </c>
      <c r="B39" t="inlineStr">
        <is>
          <t>31-9092</t>
        </is>
      </c>
      <c r="C39" t="inlineStr">
        <is>
          <t>Medical Assistants</t>
        </is>
      </c>
      <c r="D39" t="n">
        <v>51324</v>
      </c>
      <c r="E39" t="n">
        <v>46000</v>
      </c>
      <c r="F39" t="n">
        <v>119</v>
      </c>
      <c r="G39" t="n">
        <v>141</v>
      </c>
    </row>
    <row r="40">
      <c r="A40" t="inlineStr">
        <is>
          <t>West</t>
        </is>
      </c>
      <c r="B40" t="inlineStr">
        <is>
          <t>51-4121</t>
        </is>
      </c>
      <c r="C40" t="inlineStr">
        <is>
          <t>Welders, Cutters, Solderers, and Brazers</t>
        </is>
      </c>
      <c r="D40" t="n">
        <v>61906</v>
      </c>
      <c r="E40" t="n">
        <v>46000</v>
      </c>
      <c r="F40" t="n">
        <v>55</v>
      </c>
      <c r="G40" t="n">
        <v>61</v>
      </c>
    </row>
    <row r="41">
      <c r="A41" t="inlineStr">
        <is>
          <t>West</t>
        </is>
      </c>
      <c r="B41" t="inlineStr">
        <is>
          <t>29-1141</t>
        </is>
      </c>
      <c r="C41" t="inlineStr">
        <is>
          <t>Registered Nurses</t>
        </is>
      </c>
      <c r="D41" t="n">
        <v>66803</v>
      </c>
      <c r="E41" t="n">
        <v>46000</v>
      </c>
      <c r="F41" t="n">
        <v>33</v>
      </c>
      <c r="G41" t="n">
        <v>37</v>
      </c>
    </row>
    <row r="42">
      <c r="A42" t="inlineStr">
        <is>
          <t>Central</t>
        </is>
      </c>
      <c r="B42" t="inlineStr">
        <is>
          <t>49-9021</t>
        </is>
      </c>
      <c r="C42" t="inlineStr">
        <is>
          <t>HVAC Mechanics and Installers</t>
        </is>
      </c>
      <c r="D42" t="n">
        <v>45885</v>
      </c>
      <c r="E42" t="n">
        <v>43000</v>
      </c>
      <c r="F42" t="n">
        <v>111</v>
      </c>
      <c r="G42" t="n">
        <v>121</v>
      </c>
    </row>
    <row r="43">
      <c r="A43" t="inlineStr">
        <is>
          <t>Central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57654</v>
      </c>
      <c r="E43" t="n">
        <v>43000</v>
      </c>
      <c r="F43" t="n">
        <v>117</v>
      </c>
      <c r="G43" t="n">
        <v>137</v>
      </c>
    </row>
    <row r="44">
      <c r="A44" t="inlineStr">
        <is>
          <t>Central</t>
        </is>
      </c>
      <c r="B44" t="inlineStr">
        <is>
          <t>15-1251</t>
        </is>
      </c>
      <c r="C44" t="inlineStr">
        <is>
          <t>Computer Programmers</t>
        </is>
      </c>
      <c r="D44" t="n">
        <v>51061</v>
      </c>
      <c r="E44" t="n">
        <v>43000</v>
      </c>
      <c r="F44" t="n">
        <v>125</v>
      </c>
      <c r="G44" t="n">
        <v>145</v>
      </c>
    </row>
    <row r="45">
      <c r="A45" t="inlineStr">
        <is>
          <t>Central</t>
        </is>
      </c>
      <c r="B45" t="inlineStr">
        <is>
          <t>31-9011</t>
        </is>
      </c>
      <c r="C45" t="inlineStr">
        <is>
          <t>Massage Therapists</t>
        </is>
      </c>
      <c r="D45" t="n">
        <v>53220</v>
      </c>
      <c r="E45" t="n">
        <v>43000</v>
      </c>
      <c r="F45" t="n">
        <v>121</v>
      </c>
      <c r="G45" t="n">
        <v>132</v>
      </c>
    </row>
    <row r="46">
      <c r="A46" t="inlineStr">
        <is>
          <t>Central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47884</v>
      </c>
      <c r="E46" t="n">
        <v>43000</v>
      </c>
      <c r="F46" t="n">
        <v>34</v>
      </c>
      <c r="G46" t="n">
        <v>38</v>
      </c>
    </row>
    <row r="47">
      <c r="A47" t="inlineStr">
        <is>
          <t>Central</t>
        </is>
      </c>
      <c r="B47" t="inlineStr">
        <is>
          <t>31-9092</t>
        </is>
      </c>
      <c r="C47" t="inlineStr">
        <is>
          <t>Medical Assistants</t>
        </is>
      </c>
      <c r="D47" t="n">
        <v>62318</v>
      </c>
      <c r="E47" t="n">
        <v>43000</v>
      </c>
      <c r="F47" t="n">
        <v>128</v>
      </c>
      <c r="G47" t="n">
        <v>153</v>
      </c>
    </row>
    <row r="48">
      <c r="A48" t="inlineStr">
        <is>
          <t>Central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58460</v>
      </c>
      <c r="E48" t="n">
        <v>43000</v>
      </c>
      <c r="F48" t="n">
        <v>89</v>
      </c>
      <c r="G48" t="n">
        <v>101</v>
      </c>
    </row>
    <row r="49">
      <c r="A49" t="inlineStr">
        <is>
          <t>Central</t>
        </is>
      </c>
      <c r="B49" t="inlineStr">
        <is>
          <t>29-1141</t>
        </is>
      </c>
      <c r="C49" t="inlineStr">
        <is>
          <t>Registered Nurses</t>
        </is>
      </c>
      <c r="D49" t="n">
        <v>42780</v>
      </c>
      <c r="E49" t="n">
        <v>43000</v>
      </c>
      <c r="F49" t="n">
        <v>55</v>
      </c>
      <c r="G49" t="n">
        <v>58</v>
      </c>
    </row>
    <row r="50">
      <c r="A50" t="inlineStr">
        <is>
          <t>Upper Peninsula</t>
        </is>
      </c>
      <c r="B50" t="inlineStr">
        <is>
          <t>49-9021</t>
        </is>
      </c>
      <c r="C50" t="inlineStr">
        <is>
          <t>HVAC Mechanics and Installers</t>
        </is>
      </c>
      <c r="D50" t="n">
        <v>45783</v>
      </c>
      <c r="E50" t="n">
        <v>43000</v>
      </c>
      <c r="F50" t="n">
        <v>50</v>
      </c>
      <c r="G50" t="n">
        <v>58</v>
      </c>
    </row>
    <row r="51">
      <c r="A51" t="inlineStr">
        <is>
          <t>Upper Peninsula</t>
        </is>
      </c>
      <c r="B51" t="inlineStr">
        <is>
          <t>11-3021</t>
        </is>
      </c>
      <c r="C51" t="inlineStr">
        <is>
          <t>Computer and Information Systems Managers</t>
        </is>
      </c>
      <c r="D51" t="n">
        <v>59634</v>
      </c>
      <c r="E51" t="n">
        <v>43000</v>
      </c>
      <c r="F51" t="n">
        <v>50</v>
      </c>
      <c r="G51" t="n">
        <v>58</v>
      </c>
    </row>
    <row r="52">
      <c r="A52" t="inlineStr">
        <is>
          <t>Upper Peninsula</t>
        </is>
      </c>
      <c r="B52" t="inlineStr">
        <is>
          <t>15-1251</t>
        </is>
      </c>
      <c r="C52" t="inlineStr">
        <is>
          <t>Computer Programmers</t>
        </is>
      </c>
      <c r="D52" t="n">
        <v>61393</v>
      </c>
      <c r="E52" t="n">
        <v>43000</v>
      </c>
      <c r="F52" t="n">
        <v>42</v>
      </c>
      <c r="G52" t="n">
        <v>48</v>
      </c>
    </row>
    <row r="53">
      <c r="A53" t="inlineStr">
        <is>
          <t>Upper Peninsula</t>
        </is>
      </c>
      <c r="B53" t="inlineStr">
        <is>
          <t>31-9011</t>
        </is>
      </c>
      <c r="C53" t="inlineStr">
        <is>
          <t>Massage Therapists</t>
        </is>
      </c>
      <c r="D53" t="n">
        <v>59330</v>
      </c>
      <c r="E53" t="n">
        <v>43000</v>
      </c>
      <c r="F53" t="n">
        <v>134</v>
      </c>
      <c r="G53" t="n">
        <v>149</v>
      </c>
    </row>
    <row r="54">
      <c r="A54" t="inlineStr">
        <is>
          <t>Upper Peninsula</t>
        </is>
      </c>
      <c r="B54" t="inlineStr">
        <is>
          <t>11-9013</t>
        </is>
      </c>
      <c r="C54" t="inlineStr">
        <is>
          <t>Farmers, Ranchers, and Agricultural Managers</t>
        </is>
      </c>
      <c r="D54" t="n">
        <v>52543</v>
      </c>
      <c r="E54" t="n">
        <v>43000</v>
      </c>
      <c r="F54" t="n">
        <v>63</v>
      </c>
      <c r="G54" t="n">
        <v>66</v>
      </c>
    </row>
    <row r="55">
      <c r="A55" t="inlineStr">
        <is>
          <t>Upper Peninsula</t>
        </is>
      </c>
      <c r="B55" t="inlineStr">
        <is>
          <t>31-9092</t>
        </is>
      </c>
      <c r="C55" t="inlineStr">
        <is>
          <t>Medical Assistants</t>
        </is>
      </c>
      <c r="D55" t="n">
        <v>53293</v>
      </c>
      <c r="E55" t="n">
        <v>43000</v>
      </c>
      <c r="F55" t="n">
        <v>83</v>
      </c>
      <c r="G55" t="n">
        <v>90</v>
      </c>
    </row>
    <row r="56">
      <c r="A56" t="inlineStr">
        <is>
          <t>Upper Peninsula</t>
        </is>
      </c>
      <c r="B56" t="inlineStr">
        <is>
          <t>51-4121</t>
        </is>
      </c>
      <c r="C56" t="inlineStr">
        <is>
          <t>Welders, Cutters, Solderers, and Brazers</t>
        </is>
      </c>
      <c r="D56" t="n">
        <v>56440</v>
      </c>
      <c r="E56" t="n">
        <v>43000</v>
      </c>
      <c r="F56" t="n">
        <v>110</v>
      </c>
      <c r="G56" t="n">
        <v>118</v>
      </c>
    </row>
    <row r="57">
      <c r="A57" t="inlineStr">
        <is>
          <t>Upper Peninsula</t>
        </is>
      </c>
      <c r="B57" t="inlineStr">
        <is>
          <t>29-1141</t>
        </is>
      </c>
      <c r="C57" t="inlineStr">
        <is>
          <t>Registered Nurses</t>
        </is>
      </c>
      <c r="D57" t="n">
        <v>47425</v>
      </c>
      <c r="E57" t="n">
        <v>43000</v>
      </c>
      <c r="F57" t="n">
        <v>91</v>
      </c>
      <c r="G57" t="n">
        <v>107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3D3D3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Prosperity_Region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Detroit Metro</t>
        </is>
      </c>
      <c r="B2" t="inlineStr">
        <is>
          <t>49-9021</t>
        </is>
      </c>
      <c r="C2" t="inlineStr">
        <is>
          <t>HVAC Mechanics and Installers</t>
        </is>
      </c>
      <c r="D2" t="n">
        <v>53797</v>
      </c>
      <c r="E2" t="n">
        <v>49000</v>
      </c>
      <c r="F2" t="n">
        <v>53</v>
      </c>
      <c r="G2" t="n">
        <v>62</v>
      </c>
    </row>
    <row r="3">
      <c r="A3" t="inlineStr">
        <is>
          <t>Detroit Metro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58823</v>
      </c>
      <c r="E3" t="n">
        <v>49000</v>
      </c>
      <c r="F3" t="n">
        <v>31</v>
      </c>
      <c r="G3" t="n">
        <v>34</v>
      </c>
    </row>
    <row r="4">
      <c r="A4" t="inlineStr">
        <is>
          <t>Detroit Metro</t>
        </is>
      </c>
      <c r="B4" t="inlineStr">
        <is>
          <t>15-1251</t>
        </is>
      </c>
      <c r="C4" t="inlineStr">
        <is>
          <t>Computer Programmers</t>
        </is>
      </c>
      <c r="D4" t="n">
        <v>66389</v>
      </c>
      <c r="E4" t="n">
        <v>49000</v>
      </c>
      <c r="F4" t="n">
        <v>58</v>
      </c>
      <c r="G4" t="n">
        <v>67</v>
      </c>
    </row>
    <row r="5">
      <c r="A5" t="inlineStr">
        <is>
          <t>Detroit Metro</t>
        </is>
      </c>
      <c r="B5" t="inlineStr">
        <is>
          <t>31-9011</t>
        </is>
      </c>
      <c r="C5" t="inlineStr">
        <is>
          <t>Massage Therapists</t>
        </is>
      </c>
      <c r="D5" t="n">
        <v>55901</v>
      </c>
      <c r="E5" t="n">
        <v>49000</v>
      </c>
      <c r="F5" t="n">
        <v>54</v>
      </c>
      <c r="G5" t="n">
        <v>58</v>
      </c>
    </row>
    <row r="6">
      <c r="A6" t="inlineStr">
        <is>
          <t>Detroit Metro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46890</v>
      </c>
      <c r="E6" t="n">
        <v>49000</v>
      </c>
      <c r="F6" t="n">
        <v>37</v>
      </c>
      <c r="G6" t="n">
        <v>43</v>
      </c>
    </row>
    <row r="7">
      <c r="A7" t="inlineStr">
        <is>
          <t>Detroit Metro</t>
        </is>
      </c>
      <c r="B7" t="inlineStr">
        <is>
          <t>31-9092</t>
        </is>
      </c>
      <c r="C7" t="inlineStr">
        <is>
          <t>Medical Assistants</t>
        </is>
      </c>
      <c r="D7" t="n">
        <v>52691</v>
      </c>
      <c r="E7" t="n">
        <v>49000</v>
      </c>
      <c r="F7" t="n">
        <v>142</v>
      </c>
      <c r="G7" t="n">
        <v>153</v>
      </c>
    </row>
    <row r="8">
      <c r="A8" t="inlineStr">
        <is>
          <t>Detroit Metro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59037</v>
      </c>
      <c r="E8" t="n">
        <v>49000</v>
      </c>
      <c r="F8" t="n">
        <v>49</v>
      </c>
      <c r="G8" t="n">
        <v>58</v>
      </c>
    </row>
    <row r="9">
      <c r="A9" t="inlineStr">
        <is>
          <t>Detroit Metro</t>
        </is>
      </c>
      <c r="B9" t="inlineStr">
        <is>
          <t>29-1141</t>
        </is>
      </c>
      <c r="C9" t="inlineStr">
        <is>
          <t>Registered Nurses</t>
        </is>
      </c>
      <c r="D9" t="n">
        <v>53039</v>
      </c>
      <c r="E9" t="n">
        <v>49000</v>
      </c>
      <c r="F9" t="n">
        <v>146</v>
      </c>
      <c r="G9" t="n">
        <v>170</v>
      </c>
    </row>
    <row r="10">
      <c r="A10" t="inlineStr">
        <is>
          <t>Ann Arbor Area</t>
        </is>
      </c>
      <c r="B10" t="inlineStr">
        <is>
          <t>49-9021</t>
        </is>
      </c>
      <c r="C10" t="inlineStr">
        <is>
          <t>HVAC Mechanics and Installers</t>
        </is>
      </c>
      <c r="D10" t="n">
        <v>40186</v>
      </c>
      <c r="E10" t="n">
        <v>40000</v>
      </c>
      <c r="F10" t="n">
        <v>125</v>
      </c>
      <c r="G10" t="n">
        <v>138</v>
      </c>
    </row>
    <row r="11">
      <c r="A11" t="inlineStr">
        <is>
          <t>Ann Arbor Area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53355</v>
      </c>
      <c r="E11" t="n">
        <v>40000</v>
      </c>
      <c r="F11" t="n">
        <v>110</v>
      </c>
      <c r="G11" t="n">
        <v>129</v>
      </c>
    </row>
    <row r="12">
      <c r="A12" t="inlineStr">
        <is>
          <t>Ann Arbor Area</t>
        </is>
      </c>
      <c r="B12" t="inlineStr">
        <is>
          <t>15-1251</t>
        </is>
      </c>
      <c r="C12" t="inlineStr">
        <is>
          <t>Computer Programmers</t>
        </is>
      </c>
      <c r="D12" t="n">
        <v>44393</v>
      </c>
      <c r="E12" t="n">
        <v>40000</v>
      </c>
      <c r="F12" t="n">
        <v>106</v>
      </c>
      <c r="G12" t="n">
        <v>123</v>
      </c>
    </row>
    <row r="13">
      <c r="A13" t="inlineStr">
        <is>
          <t>Ann Arbor Area</t>
        </is>
      </c>
      <c r="B13" t="inlineStr">
        <is>
          <t>31-9011</t>
        </is>
      </c>
      <c r="C13" t="inlineStr">
        <is>
          <t>Massage Therapists</t>
        </is>
      </c>
      <c r="D13" t="n">
        <v>37461</v>
      </c>
      <c r="E13" t="n">
        <v>40000</v>
      </c>
      <c r="F13" t="n">
        <v>66</v>
      </c>
      <c r="G13" t="n">
        <v>71</v>
      </c>
    </row>
    <row r="14">
      <c r="A14" t="inlineStr">
        <is>
          <t>Ann Arbor Area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51156</v>
      </c>
      <c r="E14" t="n">
        <v>40000</v>
      </c>
      <c r="F14" t="n">
        <v>74</v>
      </c>
      <c r="G14" t="n">
        <v>80</v>
      </c>
    </row>
    <row r="15">
      <c r="A15" t="inlineStr">
        <is>
          <t>Ann Arbor Area</t>
        </is>
      </c>
      <c r="B15" t="inlineStr">
        <is>
          <t>31-9092</t>
        </is>
      </c>
      <c r="C15" t="inlineStr">
        <is>
          <t>Medical Assistants</t>
        </is>
      </c>
      <c r="D15" t="n">
        <v>53881</v>
      </c>
      <c r="E15" t="n">
        <v>40000</v>
      </c>
      <c r="F15" t="n">
        <v>121</v>
      </c>
      <c r="G15" t="n">
        <v>136</v>
      </c>
    </row>
    <row r="16">
      <c r="A16" t="inlineStr">
        <is>
          <t>Ann Arbor Area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56121</v>
      </c>
      <c r="E16" t="n">
        <v>40000</v>
      </c>
      <c r="F16" t="n">
        <v>118</v>
      </c>
      <c r="G16" t="n">
        <v>127</v>
      </c>
    </row>
    <row r="17">
      <c r="A17" t="inlineStr">
        <is>
          <t>Ann Arbor Area</t>
        </is>
      </c>
      <c r="B17" t="inlineStr">
        <is>
          <t>29-1141</t>
        </is>
      </c>
      <c r="C17" t="inlineStr">
        <is>
          <t>Registered Nurses</t>
        </is>
      </c>
      <c r="D17" t="n">
        <v>36747</v>
      </c>
      <c r="E17" t="n">
        <v>40000</v>
      </c>
      <c r="F17" t="n">
        <v>120</v>
      </c>
      <c r="G17" t="n">
        <v>129</v>
      </c>
    </row>
    <row r="18">
      <c r="A18" t="inlineStr">
        <is>
          <t>Grand Rapids Metro</t>
        </is>
      </c>
      <c r="B18" t="inlineStr">
        <is>
          <t>49-9021</t>
        </is>
      </c>
      <c r="C18" t="inlineStr">
        <is>
          <t>HVAC Mechanics and Installers</t>
        </is>
      </c>
      <c r="D18" t="n">
        <v>37986</v>
      </c>
      <c r="E18" t="n">
        <v>40000</v>
      </c>
      <c r="F18" t="n">
        <v>115</v>
      </c>
      <c r="G18" t="n">
        <v>133</v>
      </c>
    </row>
    <row r="19">
      <c r="A19" t="inlineStr">
        <is>
          <t>Grand Rapids Metro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58973</v>
      </c>
      <c r="E19" t="n">
        <v>40000</v>
      </c>
      <c r="F19" t="n">
        <v>100</v>
      </c>
      <c r="G19" t="n">
        <v>119</v>
      </c>
    </row>
    <row r="20">
      <c r="A20" t="inlineStr">
        <is>
          <t>Grand Rapids Metro</t>
        </is>
      </c>
      <c r="B20" t="inlineStr">
        <is>
          <t>15-1251</t>
        </is>
      </c>
      <c r="C20" t="inlineStr">
        <is>
          <t>Computer Programmers</t>
        </is>
      </c>
      <c r="D20" t="n">
        <v>37400</v>
      </c>
      <c r="E20" t="n">
        <v>40000</v>
      </c>
      <c r="F20" t="n">
        <v>141</v>
      </c>
      <c r="G20" t="n">
        <v>167</v>
      </c>
    </row>
    <row r="21">
      <c r="A21" t="inlineStr">
        <is>
          <t>Grand Rapids Metro</t>
        </is>
      </c>
      <c r="B21" t="inlineStr">
        <is>
          <t>31-9011</t>
        </is>
      </c>
      <c r="C21" t="inlineStr">
        <is>
          <t>Massage Therapists</t>
        </is>
      </c>
      <c r="D21" t="n">
        <v>39976</v>
      </c>
      <c r="E21" t="n">
        <v>40000</v>
      </c>
      <c r="F21" t="n">
        <v>143</v>
      </c>
      <c r="G21" t="n">
        <v>154</v>
      </c>
    </row>
    <row r="22">
      <c r="A22" t="inlineStr">
        <is>
          <t>Grand Rapids Metro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39510</v>
      </c>
      <c r="E22" t="n">
        <v>40000</v>
      </c>
      <c r="F22" t="n">
        <v>71</v>
      </c>
      <c r="G22" t="n">
        <v>78</v>
      </c>
    </row>
    <row r="23">
      <c r="A23" t="inlineStr">
        <is>
          <t>Grand Rapids Metro</t>
        </is>
      </c>
      <c r="B23" t="inlineStr">
        <is>
          <t>31-9092</t>
        </is>
      </c>
      <c r="C23" t="inlineStr">
        <is>
          <t>Medical Assistants</t>
        </is>
      </c>
      <c r="D23" t="n">
        <v>46446</v>
      </c>
      <c r="E23" t="n">
        <v>40000</v>
      </c>
      <c r="F23" t="n">
        <v>118</v>
      </c>
      <c r="G23" t="n">
        <v>138</v>
      </c>
    </row>
    <row r="24">
      <c r="A24" t="inlineStr">
        <is>
          <t>Grand Rapids Metro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51451</v>
      </c>
      <c r="E24" t="n">
        <v>40000</v>
      </c>
      <c r="F24" t="n">
        <v>33</v>
      </c>
      <c r="G24" t="n">
        <v>36</v>
      </c>
    </row>
    <row r="25">
      <c r="A25" t="inlineStr">
        <is>
          <t>Grand Rapids Metro</t>
        </is>
      </c>
      <c r="B25" t="inlineStr">
        <is>
          <t>29-1141</t>
        </is>
      </c>
      <c r="C25" t="inlineStr">
        <is>
          <t>Registered Nurses</t>
        </is>
      </c>
      <c r="D25" t="n">
        <v>50671</v>
      </c>
      <c r="E25" t="n">
        <v>40000</v>
      </c>
      <c r="F25" t="n">
        <v>102</v>
      </c>
      <c r="G25" t="n">
        <v>119</v>
      </c>
    </row>
    <row r="26">
      <c r="A26" t="inlineStr">
        <is>
          <t>Traverse City Area</t>
        </is>
      </c>
      <c r="B26" t="inlineStr">
        <is>
          <t>49-9021</t>
        </is>
      </c>
      <c r="C26" t="inlineStr">
        <is>
          <t>HVAC Mechanics and Installers</t>
        </is>
      </c>
      <c r="D26" t="n">
        <v>57597</v>
      </c>
      <c r="E26" t="n">
        <v>40000</v>
      </c>
      <c r="F26" t="n">
        <v>110</v>
      </c>
      <c r="G26" t="n">
        <v>120</v>
      </c>
    </row>
    <row r="27">
      <c r="A27" t="inlineStr">
        <is>
          <t>Traverse City Area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38612</v>
      </c>
      <c r="E27" t="n">
        <v>40000</v>
      </c>
      <c r="F27" t="n">
        <v>31</v>
      </c>
      <c r="G27" t="n">
        <v>34</v>
      </c>
    </row>
    <row r="28">
      <c r="A28" t="inlineStr">
        <is>
          <t>Traverse City Area</t>
        </is>
      </c>
      <c r="B28" t="inlineStr">
        <is>
          <t>15-1251</t>
        </is>
      </c>
      <c r="C28" t="inlineStr">
        <is>
          <t>Computer Programmers</t>
        </is>
      </c>
      <c r="D28" t="n">
        <v>57251</v>
      </c>
      <c r="E28" t="n">
        <v>40000</v>
      </c>
      <c r="F28" t="n">
        <v>101</v>
      </c>
      <c r="G28" t="n">
        <v>109</v>
      </c>
    </row>
    <row r="29">
      <c r="A29" t="inlineStr">
        <is>
          <t>Traverse City Area</t>
        </is>
      </c>
      <c r="B29" t="inlineStr">
        <is>
          <t>31-9011</t>
        </is>
      </c>
      <c r="C29" t="inlineStr">
        <is>
          <t>Massage Therapists</t>
        </is>
      </c>
      <c r="D29" t="n">
        <v>38482</v>
      </c>
      <c r="E29" t="n">
        <v>40000</v>
      </c>
      <c r="F29" t="n">
        <v>43</v>
      </c>
      <c r="G29" t="n">
        <v>49</v>
      </c>
    </row>
    <row r="30">
      <c r="A30" t="inlineStr">
        <is>
          <t>Traverse City Area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39341</v>
      </c>
      <c r="E30" t="n">
        <v>40000</v>
      </c>
      <c r="F30" t="n">
        <v>131</v>
      </c>
      <c r="G30" t="n">
        <v>148</v>
      </c>
    </row>
    <row r="31">
      <c r="A31" t="inlineStr">
        <is>
          <t>Traverse City Area</t>
        </is>
      </c>
      <c r="B31" t="inlineStr">
        <is>
          <t>31-9092</t>
        </is>
      </c>
      <c r="C31" t="inlineStr">
        <is>
          <t>Medical Assistants</t>
        </is>
      </c>
      <c r="D31" t="n">
        <v>41554</v>
      </c>
      <c r="E31" t="n">
        <v>40000</v>
      </c>
      <c r="F31" t="n">
        <v>59</v>
      </c>
      <c r="G31" t="n">
        <v>64</v>
      </c>
    </row>
    <row r="32">
      <c r="A32" t="inlineStr">
        <is>
          <t>Traverse City Area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59581</v>
      </c>
      <c r="E32" t="n">
        <v>40000</v>
      </c>
      <c r="F32" t="n">
        <v>85</v>
      </c>
      <c r="G32" t="n">
        <v>96</v>
      </c>
    </row>
    <row r="33">
      <c r="A33" t="inlineStr">
        <is>
          <t>Traverse City Area</t>
        </is>
      </c>
      <c r="B33" t="inlineStr">
        <is>
          <t>29-1141</t>
        </is>
      </c>
      <c r="C33" t="inlineStr">
        <is>
          <t>Registered Nurses</t>
        </is>
      </c>
      <c r="D33" t="n">
        <v>40402</v>
      </c>
      <c r="E33" t="n">
        <v>40000</v>
      </c>
      <c r="F33" t="n">
        <v>75</v>
      </c>
      <c r="G33" t="n">
        <v>82</v>
      </c>
    </row>
    <row r="34">
      <c r="A34" t="inlineStr">
        <is>
          <t>Rural Northeast</t>
        </is>
      </c>
      <c r="B34" t="inlineStr">
        <is>
          <t>49-9021</t>
        </is>
      </c>
      <c r="C34" t="inlineStr">
        <is>
          <t>HVAC Mechanics and Installers</t>
        </is>
      </c>
      <c r="D34" t="n">
        <v>42321</v>
      </c>
      <c r="E34" t="n">
        <v>43000</v>
      </c>
      <c r="F34" t="n">
        <v>148</v>
      </c>
      <c r="G34" t="n">
        <v>162</v>
      </c>
    </row>
    <row r="35">
      <c r="A35" t="inlineStr">
        <is>
          <t>Rural Northeast</t>
        </is>
      </c>
      <c r="B35" t="inlineStr">
        <is>
          <t>11-3021</t>
        </is>
      </c>
      <c r="C35" t="inlineStr">
        <is>
          <t>Computer and Information Systems Managers</t>
        </is>
      </c>
      <c r="D35" t="n">
        <v>38931</v>
      </c>
      <c r="E35" t="n">
        <v>43000</v>
      </c>
      <c r="F35" t="n">
        <v>99</v>
      </c>
      <c r="G35" t="n">
        <v>113</v>
      </c>
    </row>
    <row r="36">
      <c r="A36" t="inlineStr">
        <is>
          <t>Rural Northeast</t>
        </is>
      </c>
      <c r="B36" t="inlineStr">
        <is>
          <t>15-1251</t>
        </is>
      </c>
      <c r="C36" t="inlineStr">
        <is>
          <t>Computer Programmers</t>
        </is>
      </c>
      <c r="D36" t="n">
        <v>45800</v>
      </c>
      <c r="E36" t="n">
        <v>43000</v>
      </c>
      <c r="F36" t="n">
        <v>111</v>
      </c>
      <c r="G36" t="n">
        <v>123</v>
      </c>
    </row>
    <row r="37">
      <c r="A37" t="inlineStr">
        <is>
          <t>Rural Northeast</t>
        </is>
      </c>
      <c r="B37" t="inlineStr">
        <is>
          <t>31-9011</t>
        </is>
      </c>
      <c r="C37" t="inlineStr">
        <is>
          <t>Massage Therapists</t>
        </is>
      </c>
      <c r="D37" t="n">
        <v>53012</v>
      </c>
      <c r="E37" t="n">
        <v>43000</v>
      </c>
      <c r="F37" t="n">
        <v>110</v>
      </c>
      <c r="G37" t="n">
        <v>116</v>
      </c>
    </row>
    <row r="38">
      <c r="A38" t="inlineStr">
        <is>
          <t>Rural Northeast</t>
        </is>
      </c>
      <c r="B38" t="inlineStr">
        <is>
          <t>11-9013</t>
        </is>
      </c>
      <c r="C38" t="inlineStr">
        <is>
          <t>Farmers, Ranchers, and Agricultural Managers</t>
        </is>
      </c>
      <c r="D38" t="n">
        <v>47371</v>
      </c>
      <c r="E38" t="n">
        <v>43000</v>
      </c>
      <c r="F38" t="n">
        <v>67</v>
      </c>
      <c r="G38" t="n">
        <v>74</v>
      </c>
    </row>
    <row r="39">
      <c r="A39" t="inlineStr">
        <is>
          <t>Rural Northeast</t>
        </is>
      </c>
      <c r="B39" t="inlineStr">
        <is>
          <t>31-9092</t>
        </is>
      </c>
      <c r="C39" t="inlineStr">
        <is>
          <t>Medical Assistants</t>
        </is>
      </c>
      <c r="D39" t="n">
        <v>44655</v>
      </c>
      <c r="E39" t="n">
        <v>43000</v>
      </c>
      <c r="F39" t="n">
        <v>71</v>
      </c>
      <c r="G39" t="n">
        <v>82</v>
      </c>
    </row>
    <row r="40">
      <c r="A40" t="inlineStr">
        <is>
          <t>Rural Northeast</t>
        </is>
      </c>
      <c r="B40" t="inlineStr">
        <is>
          <t>51-4121</t>
        </is>
      </c>
      <c r="C40" t="inlineStr">
        <is>
          <t>Welders, Cutters, Solderers, and Brazers</t>
        </is>
      </c>
      <c r="D40" t="n">
        <v>45941</v>
      </c>
      <c r="E40" t="n">
        <v>43000</v>
      </c>
      <c r="F40" t="n">
        <v>46</v>
      </c>
      <c r="G40" t="n">
        <v>49</v>
      </c>
    </row>
    <row r="41">
      <c r="A41" t="inlineStr">
        <is>
          <t>Rural Northeast</t>
        </is>
      </c>
      <c r="B41" t="inlineStr">
        <is>
          <t>29-1141</t>
        </is>
      </c>
      <c r="C41" t="inlineStr">
        <is>
          <t>Registered Nurses</t>
        </is>
      </c>
      <c r="D41" t="n">
        <v>49364</v>
      </c>
      <c r="E41" t="n">
        <v>43000</v>
      </c>
      <c r="F41" t="n">
        <v>124</v>
      </c>
      <c r="G41" t="n">
        <v>133</v>
      </c>
    </row>
    <row r="42">
      <c r="A42" t="inlineStr">
        <is>
          <t>Central UP</t>
        </is>
      </c>
      <c r="B42" t="inlineStr">
        <is>
          <t>49-9021</t>
        </is>
      </c>
      <c r="C42" t="inlineStr">
        <is>
          <t>HVAC Mechanics and Installers</t>
        </is>
      </c>
      <c r="D42" t="n">
        <v>58079</v>
      </c>
      <c r="E42" t="n">
        <v>49000</v>
      </c>
      <c r="F42" t="n">
        <v>123</v>
      </c>
      <c r="G42" t="n">
        <v>140</v>
      </c>
    </row>
    <row r="43">
      <c r="A43" t="inlineStr">
        <is>
          <t>Central UP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61371</v>
      </c>
      <c r="E43" t="n">
        <v>49000</v>
      </c>
      <c r="F43" t="n">
        <v>73</v>
      </c>
      <c r="G43" t="n">
        <v>81</v>
      </c>
    </row>
    <row r="44">
      <c r="A44" t="inlineStr">
        <is>
          <t>Central UP</t>
        </is>
      </c>
      <c r="B44" t="inlineStr">
        <is>
          <t>15-1251</t>
        </is>
      </c>
      <c r="C44" t="inlineStr">
        <is>
          <t>Computer Programmers</t>
        </is>
      </c>
      <c r="D44" t="n">
        <v>48459</v>
      </c>
      <c r="E44" t="n">
        <v>49000</v>
      </c>
      <c r="F44" t="n">
        <v>140</v>
      </c>
      <c r="G44" t="n">
        <v>160</v>
      </c>
    </row>
    <row r="45">
      <c r="A45" t="inlineStr">
        <is>
          <t>Central UP</t>
        </is>
      </c>
      <c r="B45" t="inlineStr">
        <is>
          <t>31-9011</t>
        </is>
      </c>
      <c r="C45" t="inlineStr">
        <is>
          <t>Massage Therapists</t>
        </is>
      </c>
      <c r="D45" t="n">
        <v>55077</v>
      </c>
      <c r="E45" t="n">
        <v>49000</v>
      </c>
      <c r="F45" t="n">
        <v>126</v>
      </c>
      <c r="G45" t="n">
        <v>142</v>
      </c>
    </row>
    <row r="46">
      <c r="A46" t="inlineStr">
        <is>
          <t>Central UP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70262</v>
      </c>
      <c r="E46" t="n">
        <v>49000</v>
      </c>
      <c r="F46" t="n">
        <v>101</v>
      </c>
      <c r="G46" t="n">
        <v>111</v>
      </c>
    </row>
    <row r="47">
      <c r="A47" t="inlineStr">
        <is>
          <t>Central UP</t>
        </is>
      </c>
      <c r="B47" t="inlineStr">
        <is>
          <t>31-9092</t>
        </is>
      </c>
      <c r="C47" t="inlineStr">
        <is>
          <t>Medical Assistants</t>
        </is>
      </c>
      <c r="D47" t="n">
        <v>50412</v>
      </c>
      <c r="E47" t="n">
        <v>49000</v>
      </c>
      <c r="F47" t="n">
        <v>149</v>
      </c>
      <c r="G47" t="n">
        <v>168</v>
      </c>
    </row>
    <row r="48">
      <c r="A48" t="inlineStr">
        <is>
          <t>Central UP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65537</v>
      </c>
      <c r="E48" t="n">
        <v>49000</v>
      </c>
      <c r="F48" t="n">
        <v>133</v>
      </c>
      <c r="G48" t="n">
        <v>151</v>
      </c>
    </row>
    <row r="49">
      <c r="A49" t="inlineStr">
        <is>
          <t>Central UP</t>
        </is>
      </c>
      <c r="B49" t="inlineStr">
        <is>
          <t>29-1141</t>
        </is>
      </c>
      <c r="C49" t="inlineStr">
        <is>
          <t>Registered Nurses</t>
        </is>
      </c>
      <c r="D49" t="n">
        <v>48195</v>
      </c>
      <c r="E49" t="n">
        <v>49000</v>
      </c>
      <c r="F49" t="n">
        <v>107</v>
      </c>
      <c r="G49" t="n">
        <v>117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3D3D3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Metropolitan_Region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Detroit-Warren-Dearborn</t>
        </is>
      </c>
      <c r="B2" t="inlineStr">
        <is>
          <t>49-9021</t>
        </is>
      </c>
      <c r="C2" t="inlineStr">
        <is>
          <t>HVAC Mechanics and Installers</t>
        </is>
      </c>
      <c r="D2" t="n">
        <v>41060</v>
      </c>
      <c r="E2" t="n">
        <v>43000</v>
      </c>
      <c r="F2" t="n">
        <v>105</v>
      </c>
      <c r="G2" t="n">
        <v>112</v>
      </c>
    </row>
    <row r="3">
      <c r="A3" t="inlineStr">
        <is>
          <t>Detroit-Warren-Dearborn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48180</v>
      </c>
      <c r="E3" t="n">
        <v>43000</v>
      </c>
      <c r="F3" t="n">
        <v>42</v>
      </c>
      <c r="G3" t="n">
        <v>50</v>
      </c>
    </row>
    <row r="4">
      <c r="A4" t="inlineStr">
        <is>
          <t>Detroit-Warren-Dearborn</t>
        </is>
      </c>
      <c r="B4" t="inlineStr">
        <is>
          <t>15-1251</t>
        </is>
      </c>
      <c r="C4" t="inlineStr">
        <is>
          <t>Computer Programmers</t>
        </is>
      </c>
      <c r="D4" t="n">
        <v>49680</v>
      </c>
      <c r="E4" t="n">
        <v>43000</v>
      </c>
      <c r="F4" t="n">
        <v>138</v>
      </c>
      <c r="G4" t="n">
        <v>158</v>
      </c>
    </row>
    <row r="5">
      <c r="A5" t="inlineStr">
        <is>
          <t>Detroit-Warren-Dearborn</t>
        </is>
      </c>
      <c r="B5" t="inlineStr">
        <is>
          <t>31-9011</t>
        </is>
      </c>
      <c r="C5" t="inlineStr">
        <is>
          <t>Massage Therapists</t>
        </is>
      </c>
      <c r="D5" t="n">
        <v>39036</v>
      </c>
      <c r="E5" t="n">
        <v>43000</v>
      </c>
      <c r="F5" t="n">
        <v>63</v>
      </c>
      <c r="G5" t="n">
        <v>73</v>
      </c>
    </row>
    <row r="6">
      <c r="A6" t="inlineStr">
        <is>
          <t>Detroit-Warren-Dearborn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54571</v>
      </c>
      <c r="E6" t="n">
        <v>43000</v>
      </c>
      <c r="F6" t="n">
        <v>145</v>
      </c>
      <c r="G6" t="n">
        <v>154</v>
      </c>
    </row>
    <row r="7">
      <c r="A7" t="inlineStr">
        <is>
          <t>Detroit-Warren-Dearborn</t>
        </is>
      </c>
      <c r="B7" t="inlineStr">
        <is>
          <t>31-9092</t>
        </is>
      </c>
      <c r="C7" t="inlineStr">
        <is>
          <t>Medical Assistants</t>
        </is>
      </c>
      <c r="D7" t="n">
        <v>54304</v>
      </c>
      <c r="E7" t="n">
        <v>43000</v>
      </c>
      <c r="F7" t="n">
        <v>53</v>
      </c>
      <c r="G7" t="n">
        <v>56</v>
      </c>
    </row>
    <row r="8">
      <c r="A8" t="inlineStr">
        <is>
          <t>Detroit-Warren-Dearborn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50025</v>
      </c>
      <c r="E8" t="n">
        <v>43000</v>
      </c>
      <c r="F8" t="n">
        <v>140</v>
      </c>
      <c r="G8" t="n">
        <v>150</v>
      </c>
    </row>
    <row r="9">
      <c r="A9" t="inlineStr">
        <is>
          <t>Detroit-Warren-Dearborn</t>
        </is>
      </c>
      <c r="B9" t="inlineStr">
        <is>
          <t>29-1141</t>
        </is>
      </c>
      <c r="C9" t="inlineStr">
        <is>
          <t>Registered Nurses</t>
        </is>
      </c>
      <c r="D9" t="n">
        <v>51097</v>
      </c>
      <c r="E9" t="n">
        <v>43000</v>
      </c>
      <c r="F9" t="n">
        <v>44</v>
      </c>
      <c r="G9" t="n">
        <v>50</v>
      </c>
    </row>
    <row r="10">
      <c r="A10" t="inlineStr">
        <is>
          <t>Ann Arbor</t>
        </is>
      </c>
      <c r="B10" t="inlineStr">
        <is>
          <t>49-9021</t>
        </is>
      </c>
      <c r="C10" t="inlineStr">
        <is>
          <t>HVAC Mechanics and Installers</t>
        </is>
      </c>
      <c r="D10" t="n">
        <v>45102</v>
      </c>
      <c r="E10" t="n">
        <v>46000</v>
      </c>
      <c r="F10" t="n">
        <v>135</v>
      </c>
      <c r="G10" t="n">
        <v>146</v>
      </c>
    </row>
    <row r="11">
      <c r="A11" t="inlineStr">
        <is>
          <t>Ann Arbor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60210</v>
      </c>
      <c r="E11" t="n">
        <v>46000</v>
      </c>
      <c r="F11" t="n">
        <v>125</v>
      </c>
      <c r="G11" t="n">
        <v>142</v>
      </c>
    </row>
    <row r="12">
      <c r="A12" t="inlineStr">
        <is>
          <t>Ann Arbor</t>
        </is>
      </c>
      <c r="B12" t="inlineStr">
        <is>
          <t>15-1251</t>
        </is>
      </c>
      <c r="C12" t="inlineStr">
        <is>
          <t>Computer Programmers</t>
        </is>
      </c>
      <c r="D12" t="n">
        <v>41777</v>
      </c>
      <c r="E12" t="n">
        <v>46000</v>
      </c>
      <c r="F12" t="n">
        <v>87</v>
      </c>
      <c r="G12" t="n">
        <v>95</v>
      </c>
    </row>
    <row r="13">
      <c r="A13" t="inlineStr">
        <is>
          <t>Ann Arbor</t>
        </is>
      </c>
      <c r="B13" t="inlineStr">
        <is>
          <t>31-9011</t>
        </is>
      </c>
      <c r="C13" t="inlineStr">
        <is>
          <t>Massage Therapists</t>
        </is>
      </c>
      <c r="D13" t="n">
        <v>47163</v>
      </c>
      <c r="E13" t="n">
        <v>46000</v>
      </c>
      <c r="F13" t="n">
        <v>80</v>
      </c>
      <c r="G13" t="n">
        <v>89</v>
      </c>
    </row>
    <row r="14">
      <c r="A14" t="inlineStr">
        <is>
          <t>Ann Arbor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47909</v>
      </c>
      <c r="E14" t="n">
        <v>46000</v>
      </c>
      <c r="F14" t="n">
        <v>121</v>
      </c>
      <c r="G14" t="n">
        <v>127</v>
      </c>
    </row>
    <row r="15">
      <c r="A15" t="inlineStr">
        <is>
          <t>Ann Arbor</t>
        </is>
      </c>
      <c r="B15" t="inlineStr">
        <is>
          <t>31-9092</t>
        </is>
      </c>
      <c r="C15" t="inlineStr">
        <is>
          <t>Medical Assistants</t>
        </is>
      </c>
      <c r="D15" t="n">
        <v>57866</v>
      </c>
      <c r="E15" t="n">
        <v>46000</v>
      </c>
      <c r="F15" t="n">
        <v>107</v>
      </c>
      <c r="G15" t="n">
        <v>122</v>
      </c>
    </row>
    <row r="16">
      <c r="A16" t="inlineStr">
        <is>
          <t>Ann Arbor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41503</v>
      </c>
      <c r="E16" t="n">
        <v>46000</v>
      </c>
      <c r="F16" t="n">
        <v>109</v>
      </c>
      <c r="G16" t="n">
        <v>125</v>
      </c>
    </row>
    <row r="17">
      <c r="A17" t="inlineStr">
        <is>
          <t>Ann Arbor</t>
        </is>
      </c>
      <c r="B17" t="inlineStr">
        <is>
          <t>29-1141</t>
        </is>
      </c>
      <c r="C17" t="inlineStr">
        <is>
          <t>Registered Nurses</t>
        </is>
      </c>
      <c r="D17" t="n">
        <v>44862</v>
      </c>
      <c r="E17" t="n">
        <v>46000</v>
      </c>
      <c r="F17" t="n">
        <v>141</v>
      </c>
      <c r="G17" t="n">
        <v>154</v>
      </c>
    </row>
    <row r="18">
      <c r="A18" t="inlineStr">
        <is>
          <t>Grand Rapids-Wyoming</t>
        </is>
      </c>
      <c r="B18" t="inlineStr">
        <is>
          <t>49-9021</t>
        </is>
      </c>
      <c r="C18" t="inlineStr">
        <is>
          <t>HVAC Mechanics and Installers</t>
        </is>
      </c>
      <c r="D18" t="n">
        <v>41273</v>
      </c>
      <c r="E18" t="n">
        <v>43000</v>
      </c>
      <c r="F18" t="n">
        <v>124</v>
      </c>
      <c r="G18" t="n">
        <v>130</v>
      </c>
    </row>
    <row r="19">
      <c r="A19" t="inlineStr">
        <is>
          <t>Grand Rapids-Wyoming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49919</v>
      </c>
      <c r="E19" t="n">
        <v>43000</v>
      </c>
      <c r="F19" t="n">
        <v>140</v>
      </c>
      <c r="G19" t="n">
        <v>164</v>
      </c>
    </row>
    <row r="20">
      <c r="A20" t="inlineStr">
        <is>
          <t>Grand Rapids-Wyoming</t>
        </is>
      </c>
      <c r="B20" t="inlineStr">
        <is>
          <t>15-1251</t>
        </is>
      </c>
      <c r="C20" t="inlineStr">
        <is>
          <t>Computer Programmers</t>
        </is>
      </c>
      <c r="D20" t="n">
        <v>47111</v>
      </c>
      <c r="E20" t="n">
        <v>43000</v>
      </c>
      <c r="F20" t="n">
        <v>95</v>
      </c>
      <c r="G20" t="n">
        <v>100</v>
      </c>
    </row>
    <row r="21">
      <c r="A21" t="inlineStr">
        <is>
          <t>Grand Rapids-Wyoming</t>
        </is>
      </c>
      <c r="B21" t="inlineStr">
        <is>
          <t>31-9011</t>
        </is>
      </c>
      <c r="C21" t="inlineStr">
        <is>
          <t>Massage Therapists</t>
        </is>
      </c>
      <c r="D21" t="n">
        <v>64197</v>
      </c>
      <c r="E21" t="n">
        <v>43000</v>
      </c>
      <c r="F21" t="n">
        <v>89</v>
      </c>
      <c r="G21" t="n">
        <v>97</v>
      </c>
    </row>
    <row r="22">
      <c r="A22" t="inlineStr">
        <is>
          <t>Grand Rapids-Wyoming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41908</v>
      </c>
      <c r="E22" t="n">
        <v>43000</v>
      </c>
      <c r="F22" t="n">
        <v>82</v>
      </c>
      <c r="G22" t="n">
        <v>97</v>
      </c>
    </row>
    <row r="23">
      <c r="A23" t="inlineStr">
        <is>
          <t>Grand Rapids-Wyoming</t>
        </is>
      </c>
      <c r="B23" t="inlineStr">
        <is>
          <t>31-9092</t>
        </is>
      </c>
      <c r="C23" t="inlineStr">
        <is>
          <t>Medical Assistants</t>
        </is>
      </c>
      <c r="D23" t="n">
        <v>42049</v>
      </c>
      <c r="E23" t="n">
        <v>43000</v>
      </c>
      <c r="F23" t="n">
        <v>121</v>
      </c>
      <c r="G23" t="n">
        <v>129</v>
      </c>
    </row>
    <row r="24">
      <c r="A24" t="inlineStr">
        <is>
          <t>Grand Rapids-Wyoming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38953</v>
      </c>
      <c r="E24" t="n">
        <v>43000</v>
      </c>
      <c r="F24" t="n">
        <v>43</v>
      </c>
      <c r="G24" t="n">
        <v>45</v>
      </c>
    </row>
    <row r="25">
      <c r="A25" t="inlineStr">
        <is>
          <t>Grand Rapids-Wyoming</t>
        </is>
      </c>
      <c r="B25" t="inlineStr">
        <is>
          <t>29-1141</t>
        </is>
      </c>
      <c r="C25" t="inlineStr">
        <is>
          <t>Registered Nurses</t>
        </is>
      </c>
      <c r="D25" t="n">
        <v>39147</v>
      </c>
      <c r="E25" t="n">
        <v>43000</v>
      </c>
      <c r="F25" t="n">
        <v>48</v>
      </c>
      <c r="G25" t="n">
        <v>51</v>
      </c>
    </row>
    <row r="26">
      <c r="A26" t="inlineStr">
        <is>
          <t>Not Metropolitan</t>
        </is>
      </c>
      <c r="B26" t="inlineStr">
        <is>
          <t>49-9021</t>
        </is>
      </c>
      <c r="C26" t="inlineStr">
        <is>
          <t>HVAC Mechanics and Installers</t>
        </is>
      </c>
      <c r="D26" t="n">
        <v>50655</v>
      </c>
      <c r="E26" t="n">
        <v>46000</v>
      </c>
      <c r="F26" t="n">
        <v>118</v>
      </c>
      <c r="G26" t="n">
        <v>131</v>
      </c>
    </row>
    <row r="27">
      <c r="A27" t="inlineStr">
        <is>
          <t>Not Metropolitan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64345</v>
      </c>
      <c r="E27" t="n">
        <v>46000</v>
      </c>
      <c r="F27" t="n">
        <v>115</v>
      </c>
      <c r="G27" t="n">
        <v>123</v>
      </c>
    </row>
    <row r="28">
      <c r="A28" t="inlineStr">
        <is>
          <t>Not Metropolitan</t>
        </is>
      </c>
      <c r="B28" t="inlineStr">
        <is>
          <t>15-1251</t>
        </is>
      </c>
      <c r="C28" t="inlineStr">
        <is>
          <t>Computer Programmers</t>
        </is>
      </c>
      <c r="D28" t="n">
        <v>58602</v>
      </c>
      <c r="E28" t="n">
        <v>46000</v>
      </c>
      <c r="F28" t="n">
        <v>70</v>
      </c>
      <c r="G28" t="n">
        <v>82</v>
      </c>
    </row>
    <row r="29">
      <c r="A29" t="inlineStr">
        <is>
          <t>Not Metropolitan</t>
        </is>
      </c>
      <c r="B29" t="inlineStr">
        <is>
          <t>31-9011</t>
        </is>
      </c>
      <c r="C29" t="inlineStr">
        <is>
          <t>Massage Therapists</t>
        </is>
      </c>
      <c r="D29" t="n">
        <v>63441</v>
      </c>
      <c r="E29" t="n">
        <v>46000</v>
      </c>
      <c r="F29" t="n">
        <v>60</v>
      </c>
      <c r="G29" t="n">
        <v>64</v>
      </c>
    </row>
    <row r="30">
      <c r="A30" t="inlineStr">
        <is>
          <t>Not Metropolitan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54218</v>
      </c>
      <c r="E30" t="n">
        <v>46000</v>
      </c>
      <c r="F30" t="n">
        <v>146</v>
      </c>
      <c r="G30" t="n">
        <v>172</v>
      </c>
    </row>
    <row r="31">
      <c r="A31" t="inlineStr">
        <is>
          <t>Not Metropolitan</t>
        </is>
      </c>
      <c r="B31" t="inlineStr">
        <is>
          <t>31-9092</t>
        </is>
      </c>
      <c r="C31" t="inlineStr">
        <is>
          <t>Medical Assistants</t>
        </is>
      </c>
      <c r="D31" t="n">
        <v>42007</v>
      </c>
      <c r="E31" t="n">
        <v>46000</v>
      </c>
      <c r="F31" t="n">
        <v>131</v>
      </c>
      <c r="G31" t="n">
        <v>146</v>
      </c>
    </row>
    <row r="32">
      <c r="A32" t="inlineStr">
        <is>
          <t>Not Metropolitan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41507</v>
      </c>
      <c r="E32" t="n">
        <v>46000</v>
      </c>
      <c r="F32" t="n">
        <v>145</v>
      </c>
      <c r="G32" t="n">
        <v>157</v>
      </c>
    </row>
    <row r="33">
      <c r="A33" t="inlineStr">
        <is>
          <t>Not Metropolitan</t>
        </is>
      </c>
      <c r="B33" t="inlineStr">
        <is>
          <t>29-1141</t>
        </is>
      </c>
      <c r="C33" t="inlineStr">
        <is>
          <t>Registered Nurses</t>
        </is>
      </c>
      <c r="D33" t="n">
        <v>55901</v>
      </c>
      <c r="E33" t="n">
        <v>46000</v>
      </c>
      <c r="F33" t="n">
        <v>145</v>
      </c>
      <c r="G33" t="n">
        <v>166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D3D3D3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6" customWidth="1" min="3" max="3"/>
    <col width="13" customWidth="1" min="4" max="4"/>
    <col width="22" customWidth="1" min="5" max="5"/>
    <col width="25" customWidth="1" min="6" max="6"/>
    <col width="22" customWidth="1" min="7" max="7"/>
  </cols>
  <sheetData>
    <row r="1">
      <c r="A1" s="2" t="inlineStr">
        <is>
          <t>Economic_Region</t>
        </is>
      </c>
      <c r="B1" s="2" t="inlineStr">
        <is>
          <t>SOC_Code</t>
        </is>
      </c>
      <c r="C1" s="2" t="inlineStr">
        <is>
          <t>Occupation_Title</t>
        </is>
      </c>
      <c r="D1" s="2" t="inlineStr">
        <is>
          <t>Median_Wage</t>
        </is>
      </c>
      <c r="E1" s="2" t="inlineStr">
        <is>
          <t>Regional_Median_Wage</t>
        </is>
      </c>
      <c r="F1" s="2" t="inlineStr">
        <is>
          <t>Annual_Openings_Current</t>
        </is>
      </c>
      <c r="G1" s="2" t="inlineStr">
        <is>
          <t>Annual_Openings_10yr</t>
        </is>
      </c>
    </row>
    <row r="2">
      <c r="A2" t="inlineStr">
        <is>
          <t>Southeast Michigan</t>
        </is>
      </c>
      <c r="B2" t="inlineStr">
        <is>
          <t>49-9021</t>
        </is>
      </c>
      <c r="C2" t="inlineStr">
        <is>
          <t>HVAC Mechanics and Installers</t>
        </is>
      </c>
      <c r="D2" t="n">
        <v>63718</v>
      </c>
      <c r="E2" t="n">
        <v>49000</v>
      </c>
      <c r="F2" t="n">
        <v>59</v>
      </c>
      <c r="G2" t="n">
        <v>63</v>
      </c>
    </row>
    <row r="3">
      <c r="A3" t="inlineStr">
        <is>
          <t>Southeast Michigan</t>
        </is>
      </c>
      <c r="B3" t="inlineStr">
        <is>
          <t>11-3021</t>
        </is>
      </c>
      <c r="C3" t="inlineStr">
        <is>
          <t>Computer and Information Systems Managers</t>
        </is>
      </c>
      <c r="D3" t="n">
        <v>50027</v>
      </c>
      <c r="E3" t="n">
        <v>49000</v>
      </c>
      <c r="F3" t="n">
        <v>60</v>
      </c>
      <c r="G3" t="n">
        <v>65</v>
      </c>
    </row>
    <row r="4">
      <c r="A4" t="inlineStr">
        <is>
          <t>Southeast Michigan</t>
        </is>
      </c>
      <c r="B4" t="inlineStr">
        <is>
          <t>15-1251</t>
        </is>
      </c>
      <c r="C4" t="inlineStr">
        <is>
          <t>Computer Programmers</t>
        </is>
      </c>
      <c r="D4" t="n">
        <v>48674</v>
      </c>
      <c r="E4" t="n">
        <v>49000</v>
      </c>
      <c r="F4" t="n">
        <v>100</v>
      </c>
      <c r="G4" t="n">
        <v>107</v>
      </c>
    </row>
    <row r="5">
      <c r="A5" t="inlineStr">
        <is>
          <t>Southeast Michigan</t>
        </is>
      </c>
      <c r="B5" t="inlineStr">
        <is>
          <t>31-9011</t>
        </is>
      </c>
      <c r="C5" t="inlineStr">
        <is>
          <t>Massage Therapists</t>
        </is>
      </c>
      <c r="D5" t="n">
        <v>49639</v>
      </c>
      <c r="E5" t="n">
        <v>49000</v>
      </c>
      <c r="F5" t="n">
        <v>31</v>
      </c>
      <c r="G5" t="n">
        <v>33</v>
      </c>
    </row>
    <row r="6">
      <c r="A6" t="inlineStr">
        <is>
          <t>Southeast Michigan</t>
        </is>
      </c>
      <c r="B6" t="inlineStr">
        <is>
          <t>11-9013</t>
        </is>
      </c>
      <c r="C6" t="inlineStr">
        <is>
          <t>Farmers, Ranchers, and Agricultural Managers</t>
        </is>
      </c>
      <c r="D6" t="n">
        <v>52632</v>
      </c>
      <c r="E6" t="n">
        <v>49000</v>
      </c>
      <c r="F6" t="n">
        <v>48</v>
      </c>
      <c r="G6" t="n">
        <v>55</v>
      </c>
    </row>
    <row r="7">
      <c r="A7" t="inlineStr">
        <is>
          <t>Southeast Michigan</t>
        </is>
      </c>
      <c r="B7" t="inlineStr">
        <is>
          <t>31-9092</t>
        </is>
      </c>
      <c r="C7" t="inlineStr">
        <is>
          <t>Medical Assistants</t>
        </is>
      </c>
      <c r="D7" t="n">
        <v>60840</v>
      </c>
      <c r="E7" t="n">
        <v>49000</v>
      </c>
      <c r="F7" t="n">
        <v>86</v>
      </c>
      <c r="G7" t="n">
        <v>101</v>
      </c>
    </row>
    <row r="8">
      <c r="A8" t="inlineStr">
        <is>
          <t>Southeast Michigan</t>
        </is>
      </c>
      <c r="B8" t="inlineStr">
        <is>
          <t>51-4121</t>
        </is>
      </c>
      <c r="C8" t="inlineStr">
        <is>
          <t>Welders, Cutters, Solderers, and Brazers</t>
        </is>
      </c>
      <c r="D8" t="n">
        <v>67971</v>
      </c>
      <c r="E8" t="n">
        <v>49000</v>
      </c>
      <c r="F8" t="n">
        <v>71</v>
      </c>
      <c r="G8" t="n">
        <v>84</v>
      </c>
    </row>
    <row r="9">
      <c r="A9" t="inlineStr">
        <is>
          <t>Southeast Michigan</t>
        </is>
      </c>
      <c r="B9" t="inlineStr">
        <is>
          <t>29-1141</t>
        </is>
      </c>
      <c r="C9" t="inlineStr">
        <is>
          <t>Registered Nurses</t>
        </is>
      </c>
      <c r="D9" t="n">
        <v>46072</v>
      </c>
      <c r="E9" t="n">
        <v>49000</v>
      </c>
      <c r="F9" t="n">
        <v>91</v>
      </c>
      <c r="G9" t="n">
        <v>96</v>
      </c>
    </row>
    <row r="10">
      <c r="A10" t="inlineStr">
        <is>
          <t>West Michigan</t>
        </is>
      </c>
      <c r="B10" t="inlineStr">
        <is>
          <t>49-9021</t>
        </is>
      </c>
      <c r="C10" t="inlineStr">
        <is>
          <t>HVAC Mechanics and Installers</t>
        </is>
      </c>
      <c r="D10" t="n">
        <v>62132</v>
      </c>
      <c r="E10" t="n">
        <v>46000</v>
      </c>
      <c r="F10" t="n">
        <v>82</v>
      </c>
      <c r="G10" t="n">
        <v>88</v>
      </c>
    </row>
    <row r="11">
      <c r="A11" t="inlineStr">
        <is>
          <t>West Michigan</t>
        </is>
      </c>
      <c r="B11" t="inlineStr">
        <is>
          <t>11-3021</t>
        </is>
      </c>
      <c r="C11" t="inlineStr">
        <is>
          <t>Computer and Information Systems Managers</t>
        </is>
      </c>
      <c r="D11" t="n">
        <v>58597</v>
      </c>
      <c r="E11" t="n">
        <v>46000</v>
      </c>
      <c r="F11" t="n">
        <v>145</v>
      </c>
      <c r="G11" t="n">
        <v>152</v>
      </c>
    </row>
    <row r="12">
      <c r="A12" t="inlineStr">
        <is>
          <t>West Michigan</t>
        </is>
      </c>
      <c r="B12" t="inlineStr">
        <is>
          <t>15-1251</t>
        </is>
      </c>
      <c r="C12" t="inlineStr">
        <is>
          <t>Computer Programmers</t>
        </is>
      </c>
      <c r="D12" t="n">
        <v>43829</v>
      </c>
      <c r="E12" t="n">
        <v>46000</v>
      </c>
      <c r="F12" t="n">
        <v>105</v>
      </c>
      <c r="G12" t="n">
        <v>112</v>
      </c>
    </row>
    <row r="13">
      <c r="A13" t="inlineStr">
        <is>
          <t>West Michigan</t>
        </is>
      </c>
      <c r="B13" t="inlineStr">
        <is>
          <t>31-9011</t>
        </is>
      </c>
      <c r="C13" t="inlineStr">
        <is>
          <t>Massage Therapists</t>
        </is>
      </c>
      <c r="D13" t="n">
        <v>59777</v>
      </c>
      <c r="E13" t="n">
        <v>46000</v>
      </c>
      <c r="F13" t="n">
        <v>92</v>
      </c>
      <c r="G13" t="n">
        <v>102</v>
      </c>
    </row>
    <row r="14">
      <c r="A14" t="inlineStr">
        <is>
          <t>West Michigan</t>
        </is>
      </c>
      <c r="B14" t="inlineStr">
        <is>
          <t>11-9013</t>
        </is>
      </c>
      <c r="C14" t="inlineStr">
        <is>
          <t>Farmers, Ranchers, and Agricultural Managers</t>
        </is>
      </c>
      <c r="D14" t="n">
        <v>59588</v>
      </c>
      <c r="E14" t="n">
        <v>46000</v>
      </c>
      <c r="F14" t="n">
        <v>142</v>
      </c>
      <c r="G14" t="n">
        <v>149</v>
      </c>
    </row>
    <row r="15">
      <c r="A15" t="inlineStr">
        <is>
          <t>West Michigan</t>
        </is>
      </c>
      <c r="B15" t="inlineStr">
        <is>
          <t>31-9092</t>
        </is>
      </c>
      <c r="C15" t="inlineStr">
        <is>
          <t>Medical Assistants</t>
        </is>
      </c>
      <c r="D15" t="n">
        <v>64179</v>
      </c>
      <c r="E15" t="n">
        <v>46000</v>
      </c>
      <c r="F15" t="n">
        <v>62</v>
      </c>
      <c r="G15" t="n">
        <v>66</v>
      </c>
    </row>
    <row r="16">
      <c r="A16" t="inlineStr">
        <is>
          <t>West Michigan</t>
        </is>
      </c>
      <c r="B16" t="inlineStr">
        <is>
          <t>51-4121</t>
        </is>
      </c>
      <c r="C16" t="inlineStr">
        <is>
          <t>Welders, Cutters, Solderers, and Brazers</t>
        </is>
      </c>
      <c r="D16" t="n">
        <v>43690</v>
      </c>
      <c r="E16" t="n">
        <v>46000</v>
      </c>
      <c r="F16" t="n">
        <v>99</v>
      </c>
      <c r="G16" t="n">
        <v>112</v>
      </c>
    </row>
    <row r="17">
      <c r="A17" t="inlineStr">
        <is>
          <t>West Michigan</t>
        </is>
      </c>
      <c r="B17" t="inlineStr">
        <is>
          <t>29-1141</t>
        </is>
      </c>
      <c r="C17" t="inlineStr">
        <is>
          <t>Registered Nurses</t>
        </is>
      </c>
      <c r="D17" t="n">
        <v>57453</v>
      </c>
      <c r="E17" t="n">
        <v>46000</v>
      </c>
      <c r="F17" t="n">
        <v>71</v>
      </c>
      <c r="G17" t="n">
        <v>80</v>
      </c>
    </row>
    <row r="18">
      <c r="A18" t="inlineStr">
        <is>
          <t>Northern Michigan</t>
        </is>
      </c>
      <c r="B18" t="inlineStr">
        <is>
          <t>49-9021</t>
        </is>
      </c>
      <c r="C18" t="inlineStr">
        <is>
          <t>HVAC Mechanics and Installers</t>
        </is>
      </c>
      <c r="D18" t="n">
        <v>64190</v>
      </c>
      <c r="E18" t="n">
        <v>43000</v>
      </c>
      <c r="F18" t="n">
        <v>131</v>
      </c>
      <c r="G18" t="n">
        <v>156</v>
      </c>
    </row>
    <row r="19">
      <c r="A19" t="inlineStr">
        <is>
          <t>Northern Michigan</t>
        </is>
      </c>
      <c r="B19" t="inlineStr">
        <is>
          <t>11-3021</t>
        </is>
      </c>
      <c r="C19" t="inlineStr">
        <is>
          <t>Computer and Information Systems Managers</t>
        </is>
      </c>
      <c r="D19" t="n">
        <v>43439</v>
      </c>
      <c r="E19" t="n">
        <v>43000</v>
      </c>
      <c r="F19" t="n">
        <v>51</v>
      </c>
      <c r="G19" t="n">
        <v>56</v>
      </c>
    </row>
    <row r="20">
      <c r="A20" t="inlineStr">
        <is>
          <t>Northern Michigan</t>
        </is>
      </c>
      <c r="B20" t="inlineStr">
        <is>
          <t>15-1251</t>
        </is>
      </c>
      <c r="C20" t="inlineStr">
        <is>
          <t>Computer Programmers</t>
        </is>
      </c>
      <c r="D20" t="n">
        <v>48280</v>
      </c>
      <c r="E20" t="n">
        <v>43000</v>
      </c>
      <c r="F20" t="n">
        <v>55</v>
      </c>
      <c r="G20" t="n">
        <v>62</v>
      </c>
    </row>
    <row r="21">
      <c r="A21" t="inlineStr">
        <is>
          <t>Northern Michigan</t>
        </is>
      </c>
      <c r="B21" t="inlineStr">
        <is>
          <t>31-9011</t>
        </is>
      </c>
      <c r="C21" t="inlineStr">
        <is>
          <t>Massage Therapists</t>
        </is>
      </c>
      <c r="D21" t="n">
        <v>46579</v>
      </c>
      <c r="E21" t="n">
        <v>43000</v>
      </c>
      <c r="F21" t="n">
        <v>115</v>
      </c>
      <c r="G21" t="n">
        <v>133</v>
      </c>
    </row>
    <row r="22">
      <c r="A22" t="inlineStr">
        <is>
          <t>Northern Michigan</t>
        </is>
      </c>
      <c r="B22" t="inlineStr">
        <is>
          <t>11-9013</t>
        </is>
      </c>
      <c r="C22" t="inlineStr">
        <is>
          <t>Farmers, Ranchers, and Agricultural Managers</t>
        </is>
      </c>
      <c r="D22" t="n">
        <v>57932</v>
      </c>
      <c r="E22" t="n">
        <v>43000</v>
      </c>
      <c r="F22" t="n">
        <v>113</v>
      </c>
      <c r="G22" t="n">
        <v>125</v>
      </c>
    </row>
    <row r="23">
      <c r="A23" t="inlineStr">
        <is>
          <t>Northern Michigan</t>
        </is>
      </c>
      <c r="B23" t="inlineStr">
        <is>
          <t>31-9092</t>
        </is>
      </c>
      <c r="C23" t="inlineStr">
        <is>
          <t>Medical Assistants</t>
        </is>
      </c>
      <c r="D23" t="n">
        <v>47620</v>
      </c>
      <c r="E23" t="n">
        <v>43000</v>
      </c>
      <c r="F23" t="n">
        <v>111</v>
      </c>
      <c r="G23" t="n">
        <v>122</v>
      </c>
    </row>
    <row r="24">
      <c r="A24" t="inlineStr">
        <is>
          <t>Northern Michigan</t>
        </is>
      </c>
      <c r="B24" t="inlineStr">
        <is>
          <t>51-4121</t>
        </is>
      </c>
      <c r="C24" t="inlineStr">
        <is>
          <t>Welders, Cutters, Solderers, and Brazers</t>
        </is>
      </c>
      <c r="D24" t="n">
        <v>61576</v>
      </c>
      <c r="E24" t="n">
        <v>43000</v>
      </c>
      <c r="F24" t="n">
        <v>67</v>
      </c>
      <c r="G24" t="n">
        <v>76</v>
      </c>
    </row>
    <row r="25">
      <c r="A25" t="inlineStr">
        <is>
          <t>Northern Michigan</t>
        </is>
      </c>
      <c r="B25" t="inlineStr">
        <is>
          <t>29-1141</t>
        </is>
      </c>
      <c r="C25" t="inlineStr">
        <is>
          <t>Registered Nurses</t>
        </is>
      </c>
      <c r="D25" t="n">
        <v>48783</v>
      </c>
      <c r="E25" t="n">
        <v>43000</v>
      </c>
      <c r="F25" t="n">
        <v>80</v>
      </c>
      <c r="G25" t="n">
        <v>84</v>
      </c>
    </row>
    <row r="26">
      <c r="A26" t="inlineStr">
        <is>
          <t>East Michigan</t>
        </is>
      </c>
      <c r="B26" t="inlineStr">
        <is>
          <t>49-9021</t>
        </is>
      </c>
      <c r="C26" t="inlineStr">
        <is>
          <t>HVAC Mechanics and Installers</t>
        </is>
      </c>
      <c r="D26" t="n">
        <v>54152</v>
      </c>
      <c r="E26" t="n">
        <v>49000</v>
      </c>
      <c r="F26" t="n">
        <v>100</v>
      </c>
      <c r="G26" t="n">
        <v>112</v>
      </c>
    </row>
    <row r="27">
      <c r="A27" t="inlineStr">
        <is>
          <t>East Michigan</t>
        </is>
      </c>
      <c r="B27" t="inlineStr">
        <is>
          <t>11-3021</t>
        </is>
      </c>
      <c r="C27" t="inlineStr">
        <is>
          <t>Computer and Information Systems Managers</t>
        </is>
      </c>
      <c r="D27" t="n">
        <v>50315</v>
      </c>
      <c r="E27" t="n">
        <v>49000</v>
      </c>
      <c r="F27" t="n">
        <v>147</v>
      </c>
      <c r="G27" t="n">
        <v>174</v>
      </c>
    </row>
    <row r="28">
      <c r="A28" t="inlineStr">
        <is>
          <t>East Michigan</t>
        </is>
      </c>
      <c r="B28" t="inlineStr">
        <is>
          <t>15-1251</t>
        </is>
      </c>
      <c r="C28" t="inlineStr">
        <is>
          <t>Computer Programmers</t>
        </is>
      </c>
      <c r="D28" t="n">
        <v>67047</v>
      </c>
      <c r="E28" t="n">
        <v>49000</v>
      </c>
      <c r="F28" t="n">
        <v>88</v>
      </c>
      <c r="G28" t="n">
        <v>92</v>
      </c>
    </row>
    <row r="29">
      <c r="A29" t="inlineStr">
        <is>
          <t>East Michigan</t>
        </is>
      </c>
      <c r="B29" t="inlineStr">
        <is>
          <t>31-9011</t>
        </is>
      </c>
      <c r="C29" t="inlineStr">
        <is>
          <t>Massage Therapists</t>
        </is>
      </c>
      <c r="D29" t="n">
        <v>49058</v>
      </c>
      <c r="E29" t="n">
        <v>49000</v>
      </c>
      <c r="F29" t="n">
        <v>93</v>
      </c>
      <c r="G29" t="n">
        <v>100</v>
      </c>
    </row>
    <row r="30">
      <c r="A30" t="inlineStr">
        <is>
          <t>East Michigan</t>
        </is>
      </c>
      <c r="B30" t="inlineStr">
        <is>
          <t>11-9013</t>
        </is>
      </c>
      <c r="C30" t="inlineStr">
        <is>
          <t>Farmers, Ranchers, and Agricultural Managers</t>
        </is>
      </c>
      <c r="D30" t="n">
        <v>68779</v>
      </c>
      <c r="E30" t="n">
        <v>49000</v>
      </c>
      <c r="F30" t="n">
        <v>79</v>
      </c>
      <c r="G30" t="n">
        <v>89</v>
      </c>
    </row>
    <row r="31">
      <c r="A31" t="inlineStr">
        <is>
          <t>East Michigan</t>
        </is>
      </c>
      <c r="B31" t="inlineStr">
        <is>
          <t>31-9092</t>
        </is>
      </c>
      <c r="C31" t="inlineStr">
        <is>
          <t>Medical Assistants</t>
        </is>
      </c>
      <c r="D31" t="n">
        <v>68017</v>
      </c>
      <c r="E31" t="n">
        <v>49000</v>
      </c>
      <c r="F31" t="n">
        <v>43</v>
      </c>
      <c r="G31" t="n">
        <v>47</v>
      </c>
    </row>
    <row r="32">
      <c r="A32" t="inlineStr">
        <is>
          <t>East Michigan</t>
        </is>
      </c>
      <c r="B32" t="inlineStr">
        <is>
          <t>51-4121</t>
        </is>
      </c>
      <c r="C32" t="inlineStr">
        <is>
          <t>Welders, Cutters, Solderers, and Brazers</t>
        </is>
      </c>
      <c r="D32" t="n">
        <v>51072</v>
      </c>
      <c r="E32" t="n">
        <v>49000</v>
      </c>
      <c r="F32" t="n">
        <v>123</v>
      </c>
      <c r="G32" t="n">
        <v>132</v>
      </c>
    </row>
    <row r="33">
      <c r="A33" t="inlineStr">
        <is>
          <t>East Michigan</t>
        </is>
      </c>
      <c r="B33" t="inlineStr">
        <is>
          <t>29-1141</t>
        </is>
      </c>
      <c r="C33" t="inlineStr">
        <is>
          <t>Registered Nurses</t>
        </is>
      </c>
      <c r="D33" t="n">
        <v>63585</v>
      </c>
      <c r="E33" t="n">
        <v>49000</v>
      </c>
      <c r="F33" t="n">
        <v>81</v>
      </c>
      <c r="G33" t="n">
        <v>92</v>
      </c>
    </row>
    <row r="34">
      <c r="A34" t="inlineStr">
        <is>
          <t>Central Michigan</t>
        </is>
      </c>
      <c r="B34" t="inlineStr">
        <is>
          <t>49-9021</t>
        </is>
      </c>
      <c r="C34" t="inlineStr">
        <is>
          <t>HVAC Mechanics and Installers</t>
        </is>
      </c>
      <c r="D34" t="n">
        <v>42774</v>
      </c>
      <c r="E34" t="n">
        <v>40000</v>
      </c>
      <c r="F34" t="n">
        <v>30</v>
      </c>
      <c r="G34" t="n">
        <v>33</v>
      </c>
    </row>
    <row r="35">
      <c r="A35" t="inlineStr">
        <is>
          <t>Central Michigan</t>
        </is>
      </c>
      <c r="B35" t="inlineStr">
        <is>
          <t>11-3021</t>
        </is>
      </c>
      <c r="C35" t="inlineStr">
        <is>
          <t>Computer and Information Systems Managers</t>
        </is>
      </c>
      <c r="D35" t="n">
        <v>54238</v>
      </c>
      <c r="E35" t="n">
        <v>40000</v>
      </c>
      <c r="F35" t="n">
        <v>61</v>
      </c>
      <c r="G35" t="n">
        <v>64</v>
      </c>
    </row>
    <row r="36">
      <c r="A36" t="inlineStr">
        <is>
          <t>Central Michigan</t>
        </is>
      </c>
      <c r="B36" t="inlineStr">
        <is>
          <t>15-1251</t>
        </is>
      </c>
      <c r="C36" t="inlineStr">
        <is>
          <t>Computer Programmers</t>
        </is>
      </c>
      <c r="D36" t="n">
        <v>45607</v>
      </c>
      <c r="E36" t="n">
        <v>40000</v>
      </c>
      <c r="F36" t="n">
        <v>57</v>
      </c>
      <c r="G36" t="n">
        <v>60</v>
      </c>
    </row>
    <row r="37">
      <c r="A37" t="inlineStr">
        <is>
          <t>Central Michigan</t>
        </is>
      </c>
      <c r="B37" t="inlineStr">
        <is>
          <t>31-9011</t>
        </is>
      </c>
      <c r="C37" t="inlineStr">
        <is>
          <t>Massage Therapists</t>
        </is>
      </c>
      <c r="D37" t="n">
        <v>42271</v>
      </c>
      <c r="E37" t="n">
        <v>40000</v>
      </c>
      <c r="F37" t="n">
        <v>84</v>
      </c>
      <c r="G37" t="n">
        <v>100</v>
      </c>
    </row>
    <row r="38">
      <c r="A38" t="inlineStr">
        <is>
          <t>Central Michigan</t>
        </is>
      </c>
      <c r="B38" t="inlineStr">
        <is>
          <t>11-9013</t>
        </is>
      </c>
      <c r="C38" t="inlineStr">
        <is>
          <t>Farmers, Ranchers, and Agricultural Managers</t>
        </is>
      </c>
      <c r="D38" t="n">
        <v>47031</v>
      </c>
      <c r="E38" t="n">
        <v>40000</v>
      </c>
      <c r="F38" t="n">
        <v>69</v>
      </c>
      <c r="G38" t="n">
        <v>76</v>
      </c>
    </row>
    <row r="39">
      <c r="A39" t="inlineStr">
        <is>
          <t>Central Michigan</t>
        </is>
      </c>
      <c r="B39" t="inlineStr">
        <is>
          <t>31-9092</t>
        </is>
      </c>
      <c r="C39" t="inlineStr">
        <is>
          <t>Medical Assistants</t>
        </is>
      </c>
      <c r="D39" t="n">
        <v>45291</v>
      </c>
      <c r="E39" t="n">
        <v>40000</v>
      </c>
      <c r="F39" t="n">
        <v>59</v>
      </c>
      <c r="G39" t="n">
        <v>68</v>
      </c>
    </row>
    <row r="40">
      <c r="A40" t="inlineStr">
        <is>
          <t>Central Michigan</t>
        </is>
      </c>
      <c r="B40" t="inlineStr">
        <is>
          <t>51-4121</t>
        </is>
      </c>
      <c r="C40" t="inlineStr">
        <is>
          <t>Welders, Cutters, Solderers, and Brazers</t>
        </is>
      </c>
      <c r="D40" t="n">
        <v>37099</v>
      </c>
      <c r="E40" t="n">
        <v>40000</v>
      </c>
      <c r="F40" t="n">
        <v>137</v>
      </c>
      <c r="G40" t="n">
        <v>145</v>
      </c>
    </row>
    <row r="41">
      <c r="A41" t="inlineStr">
        <is>
          <t>Central Michigan</t>
        </is>
      </c>
      <c r="B41" t="inlineStr">
        <is>
          <t>29-1141</t>
        </is>
      </c>
      <c r="C41" t="inlineStr">
        <is>
          <t>Registered Nurses</t>
        </is>
      </c>
      <c r="D41" t="n">
        <v>52999</v>
      </c>
      <c r="E41" t="n">
        <v>40000</v>
      </c>
      <c r="F41" t="n">
        <v>146</v>
      </c>
      <c r="G41" t="n">
        <v>158</v>
      </c>
    </row>
    <row r="42">
      <c r="A42" t="inlineStr">
        <is>
          <t>Upper Peninsula</t>
        </is>
      </c>
      <c r="B42" t="inlineStr">
        <is>
          <t>49-9021</t>
        </is>
      </c>
      <c r="C42" t="inlineStr">
        <is>
          <t>HVAC Mechanics and Installers</t>
        </is>
      </c>
      <c r="D42" t="n">
        <v>51582</v>
      </c>
      <c r="E42" t="n">
        <v>40000</v>
      </c>
      <c r="F42" t="n">
        <v>73</v>
      </c>
      <c r="G42" t="n">
        <v>86</v>
      </c>
    </row>
    <row r="43">
      <c r="A43" t="inlineStr">
        <is>
          <t>Upper Peninsula</t>
        </is>
      </c>
      <c r="B43" t="inlineStr">
        <is>
          <t>11-3021</t>
        </is>
      </c>
      <c r="C43" t="inlineStr">
        <is>
          <t>Computer and Information Systems Managers</t>
        </is>
      </c>
      <c r="D43" t="n">
        <v>43754</v>
      </c>
      <c r="E43" t="n">
        <v>40000</v>
      </c>
      <c r="F43" t="n">
        <v>118</v>
      </c>
      <c r="G43" t="n">
        <v>128</v>
      </c>
    </row>
    <row r="44">
      <c r="A44" t="inlineStr">
        <is>
          <t>Upper Peninsula</t>
        </is>
      </c>
      <c r="B44" t="inlineStr">
        <is>
          <t>15-1251</t>
        </is>
      </c>
      <c r="C44" t="inlineStr">
        <is>
          <t>Computer Programmers</t>
        </is>
      </c>
      <c r="D44" t="n">
        <v>39813</v>
      </c>
      <c r="E44" t="n">
        <v>40000</v>
      </c>
      <c r="F44" t="n">
        <v>124</v>
      </c>
      <c r="G44" t="n">
        <v>142</v>
      </c>
    </row>
    <row r="45">
      <c r="A45" t="inlineStr">
        <is>
          <t>Upper Peninsula</t>
        </is>
      </c>
      <c r="B45" t="inlineStr">
        <is>
          <t>31-9011</t>
        </is>
      </c>
      <c r="C45" t="inlineStr">
        <is>
          <t>Massage Therapists</t>
        </is>
      </c>
      <c r="D45" t="n">
        <v>46774</v>
      </c>
      <c r="E45" t="n">
        <v>40000</v>
      </c>
      <c r="F45" t="n">
        <v>79</v>
      </c>
      <c r="G45" t="n">
        <v>90</v>
      </c>
    </row>
    <row r="46">
      <c r="A46" t="inlineStr">
        <is>
          <t>Upper Peninsula</t>
        </is>
      </c>
      <c r="B46" t="inlineStr">
        <is>
          <t>11-9013</t>
        </is>
      </c>
      <c r="C46" t="inlineStr">
        <is>
          <t>Farmers, Ranchers, and Agricultural Managers</t>
        </is>
      </c>
      <c r="D46" t="n">
        <v>50145</v>
      </c>
      <c r="E46" t="n">
        <v>40000</v>
      </c>
      <c r="F46" t="n">
        <v>144</v>
      </c>
      <c r="G46" t="n">
        <v>162</v>
      </c>
    </row>
    <row r="47">
      <c r="A47" t="inlineStr">
        <is>
          <t>Upper Peninsula</t>
        </is>
      </c>
      <c r="B47" t="inlineStr">
        <is>
          <t>31-9092</t>
        </is>
      </c>
      <c r="C47" t="inlineStr">
        <is>
          <t>Medical Assistants</t>
        </is>
      </c>
      <c r="D47" t="n">
        <v>41248</v>
      </c>
      <c r="E47" t="n">
        <v>40000</v>
      </c>
      <c r="F47" t="n">
        <v>103</v>
      </c>
      <c r="G47" t="n">
        <v>118</v>
      </c>
    </row>
    <row r="48">
      <c r="A48" t="inlineStr">
        <is>
          <t>Upper Peninsula</t>
        </is>
      </c>
      <c r="B48" t="inlineStr">
        <is>
          <t>51-4121</t>
        </is>
      </c>
      <c r="C48" t="inlineStr">
        <is>
          <t>Welders, Cutters, Solderers, and Brazers</t>
        </is>
      </c>
      <c r="D48" t="n">
        <v>56761</v>
      </c>
      <c r="E48" t="n">
        <v>40000</v>
      </c>
      <c r="F48" t="n">
        <v>117</v>
      </c>
      <c r="G48" t="n">
        <v>131</v>
      </c>
    </row>
    <row r="49">
      <c r="A49" t="inlineStr">
        <is>
          <t>Upper Peninsula</t>
        </is>
      </c>
      <c r="B49" t="inlineStr">
        <is>
          <t>29-1141</t>
        </is>
      </c>
      <c r="C49" t="inlineStr">
        <is>
          <t>Registered Nurses</t>
        </is>
      </c>
      <c r="D49" t="n">
        <v>45967</v>
      </c>
      <c r="E49" t="n">
        <v>40000</v>
      </c>
      <c r="F49" t="n">
        <v>48</v>
      </c>
      <c r="G49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D3D3D3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</cols>
  <sheetData>
    <row r="1">
      <c r="A1" s="2" t="inlineStr">
        <is>
          <t>CIP_Code</t>
        </is>
      </c>
      <c r="B1" s="2" t="inlineStr">
        <is>
          <t>SOC_Code</t>
        </is>
      </c>
      <c r="C1" s="2" t="inlineStr">
        <is>
          <t>Pathway_Name</t>
        </is>
      </c>
    </row>
    <row r="2">
      <c r="A2" t="inlineStr">
        <is>
          <t>47.0201</t>
        </is>
      </c>
      <c r="B2" t="inlineStr">
        <is>
          <t>49-9021</t>
        </is>
      </c>
      <c r="C2" t="inlineStr">
        <is>
          <t>HVAC Mechanics and Installers</t>
        </is>
      </c>
    </row>
    <row r="3">
      <c r="A3" t="inlineStr">
        <is>
          <t>52.0201</t>
        </is>
      </c>
      <c r="B3" t="inlineStr">
        <is>
          <t>11-3021</t>
        </is>
      </c>
      <c r="C3" t="inlineStr">
        <is>
          <t>Business Operations Specialists</t>
        </is>
      </c>
    </row>
    <row r="4">
      <c r="A4" t="inlineStr">
        <is>
          <t>11.0201</t>
        </is>
      </c>
      <c r="B4" t="inlineStr">
        <is>
          <t>15-1251</t>
        </is>
      </c>
      <c r="C4" t="inlineStr">
        <is>
          <t>Computer Programmers</t>
        </is>
      </c>
    </row>
    <row r="5">
      <c r="A5" t="inlineStr">
        <is>
          <t>51.0911</t>
        </is>
      </c>
      <c r="B5" t="inlineStr">
        <is>
          <t>31-9011</t>
        </is>
      </c>
      <c r="C5" t="inlineStr">
        <is>
          <t>Massage Therapists</t>
        </is>
      </c>
    </row>
    <row r="6">
      <c r="A6" t="inlineStr">
        <is>
          <t>01.0101</t>
        </is>
      </c>
      <c r="B6" t="inlineStr">
        <is>
          <t>11-9013</t>
        </is>
      </c>
      <c r="C6" t="inlineStr">
        <is>
          <t>Farmers, Ranchers, and Agricultural Managers</t>
        </is>
      </c>
    </row>
    <row r="7">
      <c r="A7" t="inlineStr">
        <is>
          <t>51.0801</t>
        </is>
      </c>
      <c r="B7" t="inlineStr">
        <is>
          <t>31-9092</t>
        </is>
      </c>
      <c r="C7" t="inlineStr">
        <is>
          <t>Medical Assistants</t>
        </is>
      </c>
    </row>
    <row r="8">
      <c r="A8" t="inlineStr">
        <is>
          <t>47.0605</t>
        </is>
      </c>
      <c r="B8" t="inlineStr">
        <is>
          <t>51-4121</t>
        </is>
      </c>
      <c r="C8" t="inlineStr">
        <is>
          <t>Welders, Cutters, and Welder Fitters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D3D3D3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6" customWidth="1" min="3" max="3"/>
    <col width="25" customWidth="1" min="4" max="4"/>
    <col width="20" customWidth="1" min="5" max="5"/>
  </cols>
  <sheetData>
    <row r="1">
      <c r="A1" s="2" t="inlineStr">
        <is>
          <t>County</t>
        </is>
      </c>
      <c r="B1" s="2" t="inlineStr">
        <is>
          <t>CEPD_Region</t>
        </is>
      </c>
      <c r="C1" s="2" t="inlineStr">
        <is>
          <t>Prosperity_Region</t>
        </is>
      </c>
      <c r="D1" s="2" t="inlineStr">
        <is>
          <t>Metropolitan_Region</t>
        </is>
      </c>
      <c r="E1" s="2" t="inlineStr">
        <is>
          <t>Economic_Region</t>
        </is>
      </c>
    </row>
    <row r="2">
      <c r="A2" t="inlineStr">
        <is>
          <t>Wayne</t>
        </is>
      </c>
      <c r="B2" t="inlineStr">
        <is>
          <t>Southeast</t>
        </is>
      </c>
      <c r="C2" t="inlineStr">
        <is>
          <t>Detroit Metro</t>
        </is>
      </c>
      <c r="D2" t="inlineStr">
        <is>
          <t>Detroit-Warren-Dearborn</t>
        </is>
      </c>
      <c r="E2" t="inlineStr">
        <is>
          <t>Southeast Michigan</t>
        </is>
      </c>
    </row>
    <row r="3">
      <c r="A3" t="inlineStr">
        <is>
          <t>Washtenaw</t>
        </is>
      </c>
      <c r="B3" t="inlineStr">
        <is>
          <t>Southeast</t>
        </is>
      </c>
      <c r="C3" t="inlineStr">
        <is>
          <t>Ann Arbor Area</t>
        </is>
      </c>
      <c r="D3" t="inlineStr">
        <is>
          <t>Ann Arbor</t>
        </is>
      </c>
      <c r="E3" t="inlineStr">
        <is>
          <t>Southeast Michigan</t>
        </is>
      </c>
    </row>
    <row r="4">
      <c r="A4" t="inlineStr">
        <is>
          <t>Grand Traverse</t>
        </is>
      </c>
      <c r="B4" t="inlineStr">
        <is>
          <t>Northwest</t>
        </is>
      </c>
      <c r="C4" t="inlineStr">
        <is>
          <t>Traverse City Area</t>
        </is>
      </c>
      <c r="D4" t="inlineStr">
        <is>
          <t>Not Metropolitan</t>
        </is>
      </c>
      <c r="E4" t="inlineStr">
        <is>
          <t>Northern Michigan</t>
        </is>
      </c>
    </row>
    <row r="5">
      <c r="A5" t="inlineStr">
        <is>
          <t>Saginaw</t>
        </is>
      </c>
      <c r="B5" t="inlineStr">
        <is>
          <t>East Central</t>
        </is>
      </c>
      <c r="C5" t="inlineStr">
        <is>
          <t>Saginaw-Midland-Bay City</t>
        </is>
      </c>
      <c r="D5" t="inlineStr">
        <is>
          <t>Saginaw</t>
        </is>
      </c>
      <c r="E5" t="inlineStr">
        <is>
          <t>East Michigan</t>
        </is>
      </c>
    </row>
    <row r="6">
      <c r="A6" t="inlineStr">
        <is>
          <t>Presque Isle</t>
        </is>
      </c>
      <c r="B6" t="inlineStr">
        <is>
          <t>Northeast</t>
        </is>
      </c>
      <c r="C6" t="inlineStr">
        <is>
          <t>Rural Northeast</t>
        </is>
      </c>
      <c r="D6" t="inlineStr">
        <is>
          <t>Not Metropolitan</t>
        </is>
      </c>
      <c r="E6" t="inlineStr">
        <is>
          <t>Northern Michigan</t>
        </is>
      </c>
    </row>
    <row r="7">
      <c r="A7" t="inlineStr">
        <is>
          <t>Kent</t>
        </is>
      </c>
      <c r="B7" t="inlineStr">
        <is>
          <t>West</t>
        </is>
      </c>
      <c r="C7" t="inlineStr">
        <is>
          <t>Grand Rapids Metro</t>
        </is>
      </c>
      <c r="D7" t="inlineStr">
        <is>
          <t>Grand Rapids-Wyoming</t>
        </is>
      </c>
      <c r="E7" t="inlineStr">
        <is>
          <t>West Michigan</t>
        </is>
      </c>
    </row>
    <row r="8">
      <c r="A8" t="inlineStr">
        <is>
          <t>Oakland</t>
        </is>
      </c>
      <c r="B8" t="inlineStr">
        <is>
          <t>Southeast</t>
        </is>
      </c>
      <c r="C8" t="inlineStr">
        <is>
          <t>Detroit Metro</t>
        </is>
      </c>
      <c r="D8" t="inlineStr">
        <is>
          <t>Detroit-Warren-Dearborn</t>
        </is>
      </c>
      <c r="E8" t="inlineStr">
        <is>
          <t>Southeast Michigan</t>
        </is>
      </c>
    </row>
    <row r="9">
      <c r="A9" t="inlineStr">
        <is>
          <t>Ingham</t>
        </is>
      </c>
      <c r="B9" t="inlineStr">
        <is>
          <t>Central</t>
        </is>
      </c>
      <c r="C9" t="inlineStr">
        <is>
          <t>Lansing Area</t>
        </is>
      </c>
      <c r="D9" t="inlineStr">
        <is>
          <t>Lansing-East Lansing</t>
        </is>
      </c>
      <c r="E9" t="inlineStr">
        <is>
          <t>Central Michigan</t>
        </is>
      </c>
    </row>
    <row r="10">
      <c r="A10" t="inlineStr">
        <is>
          <t>Emmet</t>
        </is>
      </c>
      <c r="B10" t="inlineStr">
        <is>
          <t>Northwest</t>
        </is>
      </c>
      <c r="C10" t="inlineStr">
        <is>
          <t>Northern Lakeshore</t>
        </is>
      </c>
      <c r="D10" t="inlineStr">
        <is>
          <t>Not Metropolitan</t>
        </is>
      </c>
      <c r="E10" t="inlineStr">
        <is>
          <t>Northern Michigan</t>
        </is>
      </c>
    </row>
    <row r="11">
      <c r="A11" t="inlineStr">
        <is>
          <t>Schoolcraft</t>
        </is>
      </c>
      <c r="B11" t="inlineStr">
        <is>
          <t>Upper Peninsula</t>
        </is>
      </c>
      <c r="C11" t="inlineStr">
        <is>
          <t>Central UP</t>
        </is>
      </c>
      <c r="D11" t="inlineStr">
        <is>
          <t>Not Metropolitan</t>
        </is>
      </c>
      <c r="E11" t="inlineStr">
        <is>
          <t>Upper Peninsula</t>
        </is>
      </c>
    </row>
    <row r="12">
      <c r="A12" t="inlineStr">
        <is>
          <t>Gogebic</t>
        </is>
      </c>
      <c r="B12" t="inlineStr">
        <is>
          <t>Upper Peninsula</t>
        </is>
      </c>
      <c r="C12" t="inlineStr">
        <is>
          <t>Western UP</t>
        </is>
      </c>
      <c r="D12" t="inlineStr">
        <is>
          <t>Not Metropolitan</t>
        </is>
      </c>
      <c r="E12" t="inlineStr">
        <is>
          <t>Upper Peninsula</t>
        </is>
      </c>
    </row>
    <row r="13">
      <c r="A13" t="inlineStr">
        <is>
          <t>Midland</t>
        </is>
      </c>
      <c r="B13" t="inlineStr">
        <is>
          <t>East Central</t>
        </is>
      </c>
      <c r="C13" t="inlineStr">
        <is>
          <t>Saginaw-Midland-Bay City</t>
        </is>
      </c>
      <c r="D13" t="inlineStr">
        <is>
          <t>Midland</t>
        </is>
      </c>
      <c r="E13" t="inlineStr">
        <is>
          <t>East Michigan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D3D3D3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18" customWidth="1" min="5" max="5"/>
  </cols>
  <sheetData>
    <row r="1">
      <c r="A1" s="2" t="inlineStr">
        <is>
          <t>NCES_ID</t>
        </is>
      </c>
      <c r="B1" s="2" t="inlineStr">
        <is>
          <t>Perkins_Funding</t>
        </is>
      </c>
      <c r="C1" s="2" t="inlineStr">
        <is>
          <t>Unemployment_Rate</t>
        </is>
      </c>
      <c r="D1" s="2" t="inlineStr">
        <is>
          <t>District_Wealth_Index</t>
        </is>
      </c>
      <c r="E1" s="2" t="inlineStr">
        <is>
          <t>Urbanicity_Score</t>
        </is>
      </c>
    </row>
    <row r="2">
      <c r="A2" t="inlineStr">
        <is>
          <t>2600010</t>
        </is>
      </c>
      <c r="B2" t="n">
        <v>1000286</v>
      </c>
      <c r="C2" t="n">
        <v>3.9</v>
      </c>
      <c r="D2" t="n">
        <v>1.25</v>
      </c>
      <c r="E2" t="n">
        <v>96</v>
      </c>
    </row>
    <row r="3">
      <c r="A3" t="inlineStr">
        <is>
          <t>2600020</t>
        </is>
      </c>
      <c r="B3" t="n">
        <v>449137</v>
      </c>
      <c r="C3" t="n">
        <v>4.3</v>
      </c>
      <c r="D3" t="n">
        <v>1.42</v>
      </c>
      <c r="E3" t="n">
        <v>71</v>
      </c>
    </row>
    <row r="4">
      <c r="A4" t="inlineStr">
        <is>
          <t>2601234</t>
        </is>
      </c>
      <c r="B4" t="n">
        <v>347824</v>
      </c>
      <c r="C4" t="n">
        <v>9</v>
      </c>
      <c r="D4" t="n">
        <v>1.99</v>
      </c>
      <c r="E4" t="n">
        <v>72</v>
      </c>
    </row>
    <row r="5">
      <c r="A5" t="inlineStr">
        <is>
          <t>2605678</t>
        </is>
      </c>
      <c r="B5" t="n">
        <v>26438</v>
      </c>
      <c r="C5" t="n">
        <v>8.5</v>
      </c>
      <c r="D5" t="n">
        <v>1.39</v>
      </c>
      <c r="E5" t="n">
        <v>55</v>
      </c>
    </row>
    <row r="6">
      <c r="A6" t="inlineStr">
        <is>
          <t>2609876</t>
        </is>
      </c>
      <c r="B6" t="n">
        <v>19014</v>
      </c>
      <c r="C6" t="n">
        <v>3.7</v>
      </c>
      <c r="D6" t="n">
        <v>1.92</v>
      </c>
      <c r="E6" t="n">
        <v>31</v>
      </c>
    </row>
    <row r="7">
      <c r="A7" t="inlineStr">
        <is>
          <t>2602345</t>
        </is>
      </c>
      <c r="B7" t="n">
        <v>435078</v>
      </c>
      <c r="C7" t="n">
        <v>5.8</v>
      </c>
      <c r="D7" t="n">
        <v>0.88</v>
      </c>
      <c r="E7" t="n">
        <v>91</v>
      </c>
    </row>
    <row r="8">
      <c r="A8" t="inlineStr">
        <is>
          <t>2603456</t>
        </is>
      </c>
      <c r="B8" t="n">
        <v>194388</v>
      </c>
      <c r="C8" t="n">
        <v>7.9</v>
      </c>
      <c r="D8" t="n">
        <v>0.98</v>
      </c>
      <c r="E8" t="n">
        <v>80</v>
      </c>
    </row>
    <row r="9">
      <c r="A9" t="inlineStr">
        <is>
          <t>2604567</t>
        </is>
      </c>
      <c r="B9" t="n">
        <v>51607</v>
      </c>
      <c r="C9" t="n">
        <v>8.9</v>
      </c>
      <c r="D9" t="n">
        <v>0.92</v>
      </c>
      <c r="E9" t="n">
        <v>74</v>
      </c>
    </row>
    <row r="10">
      <c r="A10" t="inlineStr">
        <is>
          <t>2606789</t>
        </is>
      </c>
      <c r="B10" t="n">
        <v>60824</v>
      </c>
      <c r="C10" t="n">
        <v>8.699999999999999</v>
      </c>
      <c r="D10" t="n">
        <v>1.83</v>
      </c>
      <c r="E10" t="n">
        <v>50</v>
      </c>
    </row>
    <row r="11">
      <c r="A11" t="inlineStr">
        <is>
          <t>2607890</t>
        </is>
      </c>
      <c r="B11" t="n">
        <v>14488</v>
      </c>
      <c r="C11" t="n">
        <v>8.1</v>
      </c>
      <c r="D11" t="n">
        <v>0.62</v>
      </c>
      <c r="E11" t="n">
        <v>33</v>
      </c>
    </row>
    <row r="12">
      <c r="A12" t="inlineStr">
        <is>
          <t>2608901</t>
        </is>
      </c>
      <c r="B12" t="n">
        <v>15849</v>
      </c>
      <c r="C12" t="n">
        <v>6.3</v>
      </c>
      <c r="D12" t="n">
        <v>1.63</v>
      </c>
      <c r="E12" t="n">
        <v>34</v>
      </c>
    </row>
    <row r="13">
      <c r="A13" t="inlineStr">
        <is>
          <t>2600234</t>
        </is>
      </c>
      <c r="B13" t="n">
        <v>338148</v>
      </c>
      <c r="C13" t="n">
        <v>4.1</v>
      </c>
      <c r="D13" t="n">
        <v>1.97</v>
      </c>
      <c r="E13" t="n">
        <v>71</v>
      </c>
    </row>
    <row r="14">
      <c r="A14" t="inlineStr">
        <is>
          <t>2601345</t>
        </is>
      </c>
      <c r="B14" t="n">
        <v>210655</v>
      </c>
      <c r="C14" t="n">
        <v>4.3</v>
      </c>
      <c r="D14" t="n">
        <v>0.74</v>
      </c>
      <c r="E14" t="n">
        <v>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ADD8E6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County</t>
        </is>
      </c>
      <c r="D1" s="2" t="inlineStr">
        <is>
          <t>Locale_Code</t>
        </is>
      </c>
      <c r="E1" s="2" t="inlineStr">
        <is>
          <t>Locale_Category</t>
        </is>
      </c>
      <c r="F1" s="2" t="inlineStr">
        <is>
          <t>Locale_Label</t>
        </is>
      </c>
      <c r="G1" s="2" t="inlineStr">
        <is>
          <t>Enrollment</t>
        </is>
      </c>
      <c r="H1" s="2" t="inlineStr">
        <is>
          <t>FRL_Count</t>
        </is>
      </c>
      <c r="I1" s="2" t="inlineStr">
        <is>
          <t>FRL_Percent</t>
        </is>
      </c>
      <c r="J1" s="2" t="inlineStr">
        <is>
          <t>Has_CTE</t>
        </is>
      </c>
      <c r="K1" s="2" t="inlineStr">
        <is>
          <t>CEPD_Region</t>
        </is>
      </c>
      <c r="L1" s="2" t="inlineStr">
        <is>
          <t>Prosperity_Region</t>
        </is>
      </c>
      <c r="M1" s="2" t="inlineStr">
        <is>
          <t>Metropolitan_Region</t>
        </is>
      </c>
      <c r="N1" s="2" t="inlineStr">
        <is>
          <t>Economic_Region</t>
        </is>
      </c>
    </row>
    <row r="2">
      <c r="A2" t="inlineStr">
        <is>
          <t>2600010</t>
        </is>
      </c>
      <c r="B2" t="inlineStr">
        <is>
          <t>Detroit Public Schools</t>
        </is>
      </c>
      <c r="C2" t="inlineStr">
        <is>
          <t>Wayne</t>
        </is>
      </c>
      <c r="D2" t="n">
        <v>11</v>
      </c>
      <c r="E2">
        <f>IFS(D2&lt;=13,"City",D2&lt;=23,"Suburb",D2&lt;=33,"Town",TRUE,"Rural")</f>
        <v/>
      </c>
      <c r="F2">
        <f>IFS(D2=11,"City-Large",D2=12,"City-Midsize",D2=13,"City-Small",D2=21,"Suburb-Large",D2=22,"Suburb-Midsize",D2=23,"Suburb-Small",D2=31,"Town-Fringe",D2=32,"Town-Distant",D2=33,"Town-Remote",D2=41,"Rural-Fringe",D2=42,"Rural-Distant",D2=43,"Rural-Remote",TRUE,"ERROR-CHECK-CODE")</f>
        <v/>
      </c>
      <c r="G2" t="n">
        <v>45000</v>
      </c>
      <c r="H2" t="n">
        <v>35000</v>
      </c>
      <c r="I2" t="n">
        <v>77.8</v>
      </c>
      <c r="J2">
        <f>IF(COUNTIFS(tbl_Programs_Raw[NCES_ID],A2)&gt;0,"Yes","No")</f>
        <v/>
      </c>
      <c r="K2">
        <f>IFERROR(VLOOKUP(C2,tbl_Geographic_Crosswalk,2,FALSE),"Unknown")</f>
        <v/>
      </c>
      <c r="L2">
        <f>IFERROR(VLOOKUP(C2,tbl_Geographic_Crosswalk,3,FALSE),"Unknown")</f>
        <v/>
      </c>
      <c r="M2">
        <f>IFERROR(VLOOKUP(C2,tbl_Geographic_Crosswalk,4,FALSE),"Unknown")</f>
        <v/>
      </c>
      <c r="N2">
        <f>IFERROR(VLOOKUP(C2,tbl_Geographic_Crosswalk,5,FALSE),"Unknown")</f>
        <v/>
      </c>
    </row>
    <row r="3">
      <c r="A3" t="inlineStr">
        <is>
          <t>2600020</t>
        </is>
      </c>
      <c r="B3" t="inlineStr">
        <is>
          <t>Ann Arbor Public Schools</t>
        </is>
      </c>
      <c r="C3" t="inlineStr">
        <is>
          <t>Washtenaw</t>
        </is>
      </c>
      <c r="D3" t="n">
        <v>21</v>
      </c>
      <c r="E3">
        <f>IFS(D3&lt;=13,"City",D3&lt;=23,"Suburb",D3&lt;=33,"Town",TRUE,"Rural")</f>
        <v/>
      </c>
      <c r="F3">
        <f>IFS(D3=11,"City-Large",D3=12,"City-Midsize",D3=13,"City-Small",D3=21,"Suburb-Large",D3=22,"Suburb-Midsize",D3=23,"Suburb-Small",D3=31,"Town-Fringe",D3=32,"Town-Distant",D3=33,"Town-Remote",D3=41,"Rural-Fringe",D3=42,"Rural-Distant",D3=43,"Rural-Remote",TRUE,"ERROR-CHECK-CODE")</f>
        <v/>
      </c>
      <c r="G3" t="n">
        <v>17000</v>
      </c>
      <c r="H3" t="n">
        <v>3400</v>
      </c>
      <c r="I3" t="n">
        <v>20</v>
      </c>
      <c r="J3">
        <f>IF(COUNTIFS(tbl_Programs_Raw[NCES_ID],A3)&gt;0,"Yes","No")</f>
        <v/>
      </c>
      <c r="K3">
        <f>IFERROR(VLOOKUP(C3,tbl_Geographic_Crosswalk,2,FALSE),"Unknown")</f>
        <v/>
      </c>
      <c r="L3">
        <f>IFERROR(VLOOKUP(C3,tbl_Geographic_Crosswalk,3,FALSE),"Unknown")</f>
        <v/>
      </c>
      <c r="M3">
        <f>IFERROR(VLOOKUP(C3,tbl_Geographic_Crosswalk,4,FALSE),"Unknown")</f>
        <v/>
      </c>
      <c r="N3">
        <f>IFERROR(VLOOKUP(C3,tbl_Geographic_Crosswalk,5,FALSE),"Unknown")</f>
        <v/>
      </c>
    </row>
    <row r="4">
      <c r="A4" t="inlineStr">
        <is>
          <t>2601234</t>
        </is>
      </c>
      <c r="B4" t="inlineStr">
        <is>
          <t>Traverse City Area PS</t>
        </is>
      </c>
      <c r="C4" t="inlineStr">
        <is>
          <t>Grand Traverse</t>
        </is>
      </c>
      <c r="D4" t="n">
        <v>22</v>
      </c>
      <c r="E4">
        <f>IFS(D4&lt;=13,"City",D4&lt;=23,"Suburb",D4&lt;=33,"Town",TRUE,"Rural")</f>
        <v/>
      </c>
      <c r="F4">
        <f>IFS(D4=11,"City-Large",D4=12,"City-Midsize",D4=13,"City-Small",D4=21,"Suburb-Large",D4=22,"Suburb-Midsize",D4=23,"Suburb-Small",D4=31,"Town-Fringe",D4=32,"Town-Distant",D4=33,"Town-Remote",D4=41,"Rural-Fringe",D4=42,"Rural-Distant",D4=43,"Rural-Remote",TRUE,"ERROR-CHECK-CODE")</f>
        <v/>
      </c>
      <c r="G4" t="n">
        <v>10500</v>
      </c>
      <c r="H4" t="n">
        <v>4200</v>
      </c>
      <c r="I4" t="n">
        <v>40</v>
      </c>
      <c r="J4">
        <f>IF(COUNTIFS(tbl_Programs_Raw[NCES_ID],A4)&gt;0,"Yes","No")</f>
        <v/>
      </c>
      <c r="K4">
        <f>IFERROR(VLOOKUP(C4,tbl_Geographic_Crosswalk,2,FALSE),"Unknown")</f>
        <v/>
      </c>
      <c r="L4">
        <f>IFERROR(VLOOKUP(C4,tbl_Geographic_Crosswalk,3,FALSE),"Unknown")</f>
        <v/>
      </c>
      <c r="M4">
        <f>IFERROR(VLOOKUP(C4,tbl_Geographic_Crosswalk,4,FALSE),"Unknown")</f>
        <v/>
      </c>
      <c r="N4">
        <f>IFERROR(VLOOKUP(C4,tbl_Geographic_Crosswalk,5,FALSE),"Unknown")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 t="inlineStr">
        <is>
          <t>Saginaw</t>
        </is>
      </c>
      <c r="D5" t="n">
        <v>32</v>
      </c>
      <c r="E5">
        <f>IFS(D5&lt;=13,"City",D5&lt;=23,"Suburb",D5&lt;=33,"Town",TRUE,"Rural")</f>
        <v/>
      </c>
      <c r="F5">
        <f>IFS(D5=11,"City-Large",D5=12,"City-Midsize",D5=13,"City-Small",D5=21,"Suburb-Large",D5=22,"Suburb-Midsize",D5=23,"Suburb-Small",D5=31,"Town-Fringe",D5=32,"Town-Distant",D5=33,"Town-Remote",D5=41,"Rural-Fringe",D5=42,"Rural-Distant",D5=43,"Rural-Remote",TRUE,"ERROR-CHECK-CODE")</f>
        <v/>
      </c>
      <c r="G5" t="n">
        <v>1200</v>
      </c>
      <c r="H5" t="n">
        <v>240</v>
      </c>
      <c r="I5" t="n">
        <v>20</v>
      </c>
      <c r="J5">
        <f>IF(COUNTIFS(tbl_Programs_Raw[NCES_ID],A5)&gt;0,"Yes","No")</f>
        <v/>
      </c>
      <c r="K5">
        <f>IFERROR(VLOOKUP(C5,tbl_Geographic_Crosswalk,2,FALSE),"Unknown")</f>
        <v/>
      </c>
      <c r="L5">
        <f>IFERROR(VLOOKUP(C5,tbl_Geographic_Crosswalk,3,FALSE),"Unknown")</f>
        <v/>
      </c>
      <c r="M5">
        <f>IFERROR(VLOOKUP(C5,tbl_Geographic_Crosswalk,4,FALSE),"Unknown")</f>
        <v/>
      </c>
      <c r="N5">
        <f>IFERROR(VLOOKUP(C5,tbl_Geographic_Crosswalk,5,FALSE),"Unknown")</f>
        <v/>
      </c>
    </row>
    <row r="6">
      <c r="A6" t="inlineStr">
        <is>
          <t>2609876</t>
        </is>
      </c>
      <c r="B6" t="inlineStr">
        <is>
          <t>Onaway Area Community SD</t>
        </is>
      </c>
      <c r="C6" t="inlineStr">
        <is>
          <t>Presque Isle</t>
        </is>
      </c>
      <c r="D6" t="n">
        <v>43</v>
      </c>
      <c r="E6">
        <f>IFS(D6&lt;=13,"City",D6&lt;=23,"Suburb",D6&lt;=33,"Town",TRUE,"Rural")</f>
        <v/>
      </c>
      <c r="F6">
        <f>IFS(D6=11,"City-Large",D6=12,"City-Midsize",D6=13,"City-Small",D6=21,"Suburb-Large",D6=22,"Suburb-Midsize",D6=23,"Suburb-Small",D6=31,"Town-Fringe",D6=32,"Town-Distant",D6=33,"Town-Remote",D6=41,"Rural-Fringe",D6=42,"Rural-Distant",D6=43,"Rural-Remote",TRUE,"ERROR-CHECK-CODE")</f>
        <v/>
      </c>
      <c r="G6" t="n">
        <v>650</v>
      </c>
      <c r="H6" t="n">
        <v>390</v>
      </c>
      <c r="I6" t="n">
        <v>60</v>
      </c>
      <c r="J6">
        <f>IF(COUNTIFS(tbl_Programs_Raw[NCES_ID],A6)&gt;0,"Yes","No")</f>
        <v/>
      </c>
      <c r="K6">
        <f>IFERROR(VLOOKUP(C6,tbl_Geographic_Crosswalk,2,FALSE),"Unknown")</f>
        <v/>
      </c>
      <c r="L6">
        <f>IFERROR(VLOOKUP(C6,tbl_Geographic_Crosswalk,3,FALSE),"Unknown")</f>
        <v/>
      </c>
      <c r="M6">
        <f>IFERROR(VLOOKUP(C6,tbl_Geographic_Crosswalk,4,FALSE),"Unknown")</f>
        <v/>
      </c>
      <c r="N6">
        <f>IFERROR(VLOOKUP(C6,tbl_Geographic_Crosswalk,5,FALSE),"Unknown")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 t="inlineStr">
        <is>
          <t>Kent</t>
        </is>
      </c>
      <c r="D7" t="n">
        <v>11</v>
      </c>
      <c r="E7">
        <f>IFS(D7&lt;=13,"City",D7&lt;=23,"Suburb",D7&lt;=33,"Town",TRUE,"Rural")</f>
        <v/>
      </c>
      <c r="F7">
        <f>IFS(D7=11,"City-Large",D7=12,"City-Midsize",D7=13,"City-Small",D7=21,"Suburb-Large",D7=22,"Suburb-Midsize",D7=23,"Suburb-Small",D7=31,"Town-Fringe",D7=32,"Town-Distant",D7=33,"Town-Remote",D7=41,"Rural-Fringe",D7=42,"Rural-Distant",D7=43,"Rural-Remote",TRUE,"ERROR-CHECK-CODE")</f>
        <v/>
      </c>
      <c r="G7" t="n">
        <v>19000</v>
      </c>
      <c r="H7" t="n">
        <v>12000</v>
      </c>
      <c r="I7" t="n">
        <v>63.2</v>
      </c>
      <c r="J7">
        <f>IF(COUNTIFS(tbl_Programs_Raw[NCES_ID],A7)&gt;0,"Yes","No")</f>
        <v/>
      </c>
      <c r="K7">
        <f>IFERROR(VLOOKUP(C7,tbl_Geographic_Crosswalk,2,FALSE),"Unknown")</f>
        <v/>
      </c>
      <c r="L7">
        <f>IFERROR(VLOOKUP(C7,tbl_Geographic_Crosswalk,3,FALSE),"Unknown")</f>
        <v/>
      </c>
      <c r="M7">
        <f>IFERROR(VLOOKUP(C7,tbl_Geographic_Crosswalk,4,FALSE),"Unknown")</f>
        <v/>
      </c>
      <c r="N7">
        <f>IFERROR(VLOOKUP(C7,tbl_Geographic_Crosswalk,5,FALSE),"Unknown")</f>
        <v/>
      </c>
    </row>
    <row r="8">
      <c r="A8" t="inlineStr">
        <is>
          <t>2603456</t>
        </is>
      </c>
      <c r="B8" t="inlineStr">
        <is>
          <t>Novi Community Schools</t>
        </is>
      </c>
      <c r="C8" t="inlineStr">
        <is>
          <t>Oakland</t>
        </is>
      </c>
      <c r="D8" t="n">
        <v>21</v>
      </c>
      <c r="E8">
        <f>IFS(D8&lt;=13,"City",D8&lt;=23,"Suburb",D8&lt;=33,"Town",TRUE,"Rural")</f>
        <v/>
      </c>
      <c r="F8">
        <f>IFS(D8=11,"City-Large",D8=12,"City-Midsize",D8=13,"City-Small",D8=21,"Suburb-Large",D8=22,"Suburb-Midsize",D8=23,"Suburb-Small",D8=31,"Town-Fringe",D8=32,"Town-Distant",D8=33,"Town-Remote",D8=41,"Rural-Fringe",D8=42,"Rural-Distant",D8=43,"Rural-Remote",TRUE,"ERROR-CHECK-CODE")</f>
        <v/>
      </c>
      <c r="G8" t="n">
        <v>6500</v>
      </c>
      <c r="H8" t="n">
        <v>800</v>
      </c>
      <c r="I8" t="n">
        <v>12.3</v>
      </c>
      <c r="J8">
        <f>IF(COUNTIFS(tbl_Programs_Raw[NCES_ID],A8)&gt;0,"Yes","No")</f>
        <v/>
      </c>
      <c r="K8">
        <f>IFERROR(VLOOKUP(C8,tbl_Geographic_Crosswalk,2,FALSE),"Unknown")</f>
        <v/>
      </c>
      <c r="L8">
        <f>IFERROR(VLOOKUP(C8,tbl_Geographic_Crosswalk,3,FALSE),"Unknown")</f>
        <v/>
      </c>
      <c r="M8">
        <f>IFERROR(VLOOKUP(C8,tbl_Geographic_Crosswalk,4,FALSE),"Unknown")</f>
        <v/>
      </c>
      <c r="N8">
        <f>IFERROR(VLOOKUP(C8,tbl_Geographic_Crosswalk,5,FALSE),"Unknown")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 t="inlineStr">
        <is>
          <t>Ingham</t>
        </is>
      </c>
      <c r="D9" t="n">
        <v>21</v>
      </c>
      <c r="E9">
        <f>IFS(D9&lt;=13,"City",D9&lt;=23,"Suburb",D9&lt;=33,"Town",TRUE,"Rural")</f>
        <v/>
      </c>
      <c r="F9">
        <f>IFS(D9=11,"City-Large",D9=12,"City-Midsize",D9=13,"City-Small",D9=21,"Suburb-Large",D9=22,"Suburb-Midsize",D9=23,"Suburb-Small",D9=31,"Town-Fringe",D9=32,"Town-Distant",D9=33,"Town-Remote",D9=41,"Rural-Fringe",D9=42,"Rural-Distant",D9=43,"Rural-Remote",TRUE,"ERROR-CHECK-CODE")</f>
        <v/>
      </c>
      <c r="G9" t="n">
        <v>3200</v>
      </c>
      <c r="H9" t="n">
        <v>640</v>
      </c>
      <c r="I9" t="n">
        <v>20</v>
      </c>
      <c r="J9">
        <f>IF(COUNTIFS(tbl_Programs_Raw[NCES_ID],A9)&gt;0,"Yes","No")</f>
        <v/>
      </c>
      <c r="K9">
        <f>IFERROR(VLOOKUP(C9,tbl_Geographic_Crosswalk,2,FALSE),"Unknown")</f>
        <v/>
      </c>
      <c r="L9">
        <f>IFERROR(VLOOKUP(C9,tbl_Geographic_Crosswalk,3,FALSE),"Unknown")</f>
        <v/>
      </c>
      <c r="M9">
        <f>IFERROR(VLOOKUP(C9,tbl_Geographic_Crosswalk,4,FALSE),"Unknown")</f>
        <v/>
      </c>
      <c r="N9">
        <f>IFERROR(VLOOKUP(C9,tbl_Geographic_Crosswalk,5,FALSE),"Unknown")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 t="inlineStr">
        <is>
          <t>Emmet</t>
        </is>
      </c>
      <c r="D10" t="n">
        <v>32</v>
      </c>
      <c r="E10">
        <f>IFS(D10&lt;=13,"City",D10&lt;=23,"Suburb",D10&lt;=33,"Town",TRUE,"Rural")</f>
        <v/>
      </c>
      <c r="F10">
        <f>IFS(D10=11,"City-Large",D10=12,"City-Midsize",D10=13,"City-Small",D10=21,"Suburb-Large",D10=22,"Suburb-Midsize",D10=23,"Suburb-Small",D10=31,"Town-Fringe",D10=32,"Town-Distant",D10=33,"Town-Remote",D10=41,"Rural-Fringe",D10=42,"Rural-Distant",D10=43,"Rural-Remote",TRUE,"ERROR-CHECK-CODE")</f>
        <v/>
      </c>
      <c r="G10" t="n">
        <v>2100</v>
      </c>
      <c r="H10" t="n">
        <v>840</v>
      </c>
      <c r="I10" t="n">
        <v>40</v>
      </c>
      <c r="J10">
        <f>IF(COUNTIFS(tbl_Programs_Raw[NCES_ID],A10)&gt;0,"Yes","No")</f>
        <v/>
      </c>
      <c r="K10">
        <f>IFERROR(VLOOKUP(C10,tbl_Geographic_Crosswalk,2,FALSE),"Unknown")</f>
        <v/>
      </c>
      <c r="L10">
        <f>IFERROR(VLOOKUP(C10,tbl_Geographic_Crosswalk,3,FALSE),"Unknown")</f>
        <v/>
      </c>
      <c r="M10">
        <f>IFERROR(VLOOKUP(C10,tbl_Geographic_Crosswalk,4,FALSE),"Unknown")</f>
        <v/>
      </c>
      <c r="N10">
        <f>IFERROR(VLOOKUP(C10,tbl_Geographic_Crosswalk,5,FALSE),"Unknown")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 t="inlineStr">
        <is>
          <t>Schoolcraft</t>
        </is>
      </c>
      <c r="D11" t="n">
        <v>42</v>
      </c>
      <c r="E11">
        <f>IFS(D11&lt;=13,"City",D11&lt;=23,"Suburb",D11&lt;=33,"Town",TRUE,"Rural")</f>
        <v/>
      </c>
      <c r="F11">
        <f>IFS(D11=11,"City-Large",D11=12,"City-Midsize",D11=13,"City-Small",D11=21,"Suburb-Large",D11=22,"Suburb-Midsize",D11=23,"Suburb-Small",D11=31,"Town-Fringe",D11=32,"Town-Distant",D11=33,"Town-Remote",D11=41,"Rural-Fringe",D11=42,"Rural-Distant",D11=43,"Rural-Remote",TRUE,"ERROR-CHECK-CODE")</f>
        <v/>
      </c>
      <c r="G11" t="n">
        <v>890</v>
      </c>
      <c r="H11" t="n">
        <v>445</v>
      </c>
      <c r="I11" t="n">
        <v>50</v>
      </c>
      <c r="J11">
        <f>IF(COUNTIFS(tbl_Programs_Raw[NCES_ID],A11)&gt;0,"Yes","No")</f>
        <v/>
      </c>
      <c r="K11">
        <f>IFERROR(VLOOKUP(C11,tbl_Geographic_Crosswalk,2,FALSE),"Unknown")</f>
        <v/>
      </c>
      <c r="L11">
        <f>IFERROR(VLOOKUP(C11,tbl_Geographic_Crosswalk,3,FALSE),"Unknown")</f>
        <v/>
      </c>
      <c r="M11">
        <f>IFERROR(VLOOKUP(C11,tbl_Geographic_Crosswalk,4,FALSE),"Unknown")</f>
        <v/>
      </c>
      <c r="N11">
        <f>IFERROR(VLOOKUP(C11,tbl_Geographic_Crosswalk,5,FALSE),"Unknown")</f>
        <v/>
      </c>
    </row>
    <row r="12">
      <c r="A12" t="inlineStr">
        <is>
          <t>2608901</t>
        </is>
      </c>
      <c r="B12" t="inlineStr">
        <is>
          <t>Ironwood Area Schools</t>
        </is>
      </c>
      <c r="C12" t="inlineStr">
        <is>
          <t>Gogebic</t>
        </is>
      </c>
      <c r="D12" t="n">
        <v>43</v>
      </c>
      <c r="E12">
        <f>IFS(D12&lt;=13,"City",D12&lt;=23,"Suburb",D12&lt;=33,"Town",TRUE,"Rural")</f>
        <v/>
      </c>
      <c r="F12">
        <f>IFS(D12=11,"City-Large",D12=12,"City-Midsize",D12=13,"City-Small",D12=21,"Suburb-Large",D12=22,"Suburb-Midsize",D12=23,"Suburb-Small",D12=31,"Town-Fringe",D12=32,"Town-Distant",D12=33,"Town-Remote",D12=41,"Rural-Fringe",D12=42,"Rural-Distant",D12=43,"Rural-Remote",TRUE,"ERROR-CHECK-CODE")</f>
        <v/>
      </c>
      <c r="G12" t="n">
        <v>720</v>
      </c>
      <c r="H12" t="n">
        <v>504</v>
      </c>
      <c r="I12" t="n">
        <v>70</v>
      </c>
      <c r="J12">
        <f>IF(COUNTIFS(tbl_Programs_Raw[NCES_ID],A12)&gt;0,"Yes","No")</f>
        <v/>
      </c>
      <c r="K12">
        <f>IFERROR(VLOOKUP(C12,tbl_Geographic_Crosswalk,2,FALSE),"Unknown")</f>
        <v/>
      </c>
      <c r="L12">
        <f>IFERROR(VLOOKUP(C12,tbl_Geographic_Crosswalk,3,FALSE),"Unknown")</f>
        <v/>
      </c>
      <c r="M12">
        <f>IFERROR(VLOOKUP(C12,tbl_Geographic_Crosswalk,4,FALSE),"Unknown")</f>
        <v/>
      </c>
      <c r="N12">
        <f>IFERROR(VLOOKUP(C12,tbl_Geographic_Crosswalk,5,FALSE),"Unknown")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 t="inlineStr">
        <is>
          <t>Wayne</t>
        </is>
      </c>
      <c r="D13" t="n">
        <v>21</v>
      </c>
      <c r="E13">
        <f>IFS(D13&lt;=13,"City",D13&lt;=23,"Suburb",D13&lt;=33,"Town",TRUE,"Rural")</f>
        <v/>
      </c>
      <c r="F13">
        <f>IFS(D13=11,"City-Large",D13=12,"City-Midsize",D13=13,"City-Small",D13=21,"Suburb-Large",D13=22,"Suburb-Midsize",D13=23,"Suburb-Small",D13=31,"Town-Fringe",D13=32,"Town-Distant",D13=33,"Town-Remote",D13=41,"Rural-Fringe",D13=42,"Rural-Distant",D13=43,"Rural-Remote",TRUE,"ERROR-CHECK-CODE")</f>
        <v/>
      </c>
      <c r="G13" t="n">
        <v>14500</v>
      </c>
      <c r="H13" t="n">
        <v>4350</v>
      </c>
      <c r="I13" t="n">
        <v>30</v>
      </c>
      <c r="J13">
        <f>IF(COUNTIFS(tbl_Programs_Raw[NCES_ID],A13)&gt;0,"Yes","No")</f>
        <v/>
      </c>
      <c r="K13">
        <f>IFERROR(VLOOKUP(C13,tbl_Geographic_Crosswalk,2,FALSE),"Unknown")</f>
        <v/>
      </c>
      <c r="L13">
        <f>IFERROR(VLOOKUP(C13,tbl_Geographic_Crosswalk,3,FALSE),"Unknown")</f>
        <v/>
      </c>
      <c r="M13">
        <f>IFERROR(VLOOKUP(C13,tbl_Geographic_Crosswalk,4,FALSE),"Unknown")</f>
        <v/>
      </c>
      <c r="N13">
        <f>IFERROR(VLOOKUP(C13,tbl_Geographic_Crosswalk,5,FALSE),"Unknown")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 t="inlineStr">
        <is>
          <t>Midland</t>
        </is>
      </c>
      <c r="D14" t="n">
        <v>22</v>
      </c>
      <c r="E14">
        <f>IFS(D14&lt;=13,"City",D14&lt;=23,"Suburb",D14&lt;=33,"Town",TRUE,"Rural")</f>
        <v/>
      </c>
      <c r="F14">
        <f>IFS(D14=11,"City-Large",D14=12,"City-Midsize",D14=13,"City-Small",D14=21,"Suburb-Large",D14=22,"Suburb-Midsize",D14=23,"Suburb-Small",D14=31,"Town-Fringe",D14=32,"Town-Distant",D14=33,"Town-Remote",D14=41,"Rural-Fringe",D14=42,"Rural-Distant",D14=43,"Rural-Remote",TRUE,"ERROR-CHECK-CODE")</f>
        <v/>
      </c>
      <c r="G14" t="n">
        <v>7800</v>
      </c>
      <c r="H14" t="n">
        <v>2340</v>
      </c>
      <c r="I14" t="n">
        <v>30</v>
      </c>
      <c r="J14">
        <f>IF(COUNTIFS(tbl_Programs_Raw[NCES_ID],A14)&gt;0,"Yes","No")</f>
        <v/>
      </c>
      <c r="K14">
        <f>IFERROR(VLOOKUP(C14,tbl_Geographic_Crosswalk,2,FALSE),"Unknown")</f>
        <v/>
      </c>
      <c r="L14">
        <f>IFERROR(VLOOKUP(C14,tbl_Geographic_Crosswalk,3,FALSE),"Unknown")</f>
        <v/>
      </c>
      <c r="M14">
        <f>IFERROR(VLOOKUP(C14,tbl_Geographic_Crosswalk,4,FALSE),"Unknown")</f>
        <v/>
      </c>
      <c r="N14">
        <f>IFERROR(VLOOKUP(C14,tbl_Geographic_Crosswalk,5,FALSE),"Unknown")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ADD8E6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NCES_ID</t>
        </is>
      </c>
      <c r="B1" s="2" t="inlineStr">
        <is>
          <t>CIP_Code</t>
        </is>
      </c>
      <c r="C1" s="2" t="inlineStr">
        <is>
          <t>Building_Code</t>
        </is>
      </c>
      <c r="D1" s="2" t="inlineStr">
        <is>
          <t>Program_Name</t>
        </is>
      </c>
      <c r="E1" s="2" t="inlineStr">
        <is>
          <t>Program_Status</t>
        </is>
      </c>
      <c r="F1" s="2" t="inlineStr">
        <is>
          <t>Is_InHouse</t>
        </is>
      </c>
      <c r="G1" s="2" t="inlineStr">
        <is>
          <t>Sharing_Count</t>
        </is>
      </c>
      <c r="H1" s="2" t="inlineStr">
        <is>
          <t>Fractional_Credit</t>
        </is>
      </c>
    </row>
    <row r="2">
      <c r="A2" t="inlineStr">
        <is>
          <t>2600010</t>
        </is>
      </c>
      <c r="B2" t="inlineStr">
        <is>
          <t>47.0201</t>
        </is>
      </c>
      <c r="C2" t="inlineStr">
        <is>
          <t>26000100</t>
        </is>
      </c>
      <c r="D2" t="inlineStr">
        <is>
          <t>Heating, AC &amp; Refrigeration</t>
        </is>
      </c>
      <c r="E2" t="inlineStr">
        <is>
          <t>Active</t>
        </is>
      </c>
      <c r="F2">
        <f>IF(LEFT(TEXT(C2,"00000000"),5)=LEFT(TEXT(A2,"00000000"),5),"Yes","No")</f>
        <v/>
      </c>
      <c r="G2">
        <f>IF(F2="Yes",1,COUNTIFS(tbl_Programs_Raw[Building_Code],C2))</f>
        <v/>
      </c>
      <c r="H2">
        <f>IF(F2="Yes",1,1/G2)</f>
        <v/>
      </c>
    </row>
    <row r="3">
      <c r="A3" t="inlineStr">
        <is>
          <t>2600010</t>
        </is>
      </c>
      <c r="B3" t="inlineStr">
        <is>
          <t>52.0201</t>
        </is>
      </c>
      <c r="C3" t="inlineStr">
        <is>
          <t>26000101</t>
        </is>
      </c>
      <c r="D3" t="inlineStr">
        <is>
          <t>Business Administration</t>
        </is>
      </c>
      <c r="E3" t="inlineStr">
        <is>
          <t>Active</t>
        </is>
      </c>
      <c r="F3">
        <f>IF(LEFT(TEXT(C3,"00000000"),5)=LEFT(TEXT(A3,"00000000"),5),"Yes","No")</f>
        <v/>
      </c>
      <c r="G3">
        <f>IF(F3="Yes",1,COUNTIFS(tbl_Programs_Raw[Building_Code],C3))</f>
        <v/>
      </c>
      <c r="H3">
        <f>IF(F3="Yes",1,1/G3)</f>
        <v/>
      </c>
    </row>
    <row r="4">
      <c r="A4" t="inlineStr">
        <is>
          <t>2600010</t>
        </is>
      </c>
      <c r="B4" t="inlineStr">
        <is>
          <t>11.0201</t>
        </is>
      </c>
      <c r="C4" t="inlineStr">
        <is>
          <t>26000102</t>
        </is>
      </c>
      <c r="D4" t="inlineStr">
        <is>
          <t>Computer Programming</t>
        </is>
      </c>
      <c r="E4" t="inlineStr">
        <is>
          <t>Active</t>
        </is>
      </c>
      <c r="F4">
        <f>IF(LEFT(TEXT(C4,"00000000"),5)=LEFT(TEXT(A4,"00000000"),5),"Yes","No")</f>
        <v/>
      </c>
      <c r="G4">
        <f>IF(F4="Yes",1,COUNTIFS(tbl_Programs_Raw[Building_Code],C4))</f>
        <v/>
      </c>
      <c r="H4">
        <f>IF(F4="Yes",1,1/G4)</f>
        <v/>
      </c>
    </row>
    <row r="5">
      <c r="A5" t="inlineStr">
        <is>
          <t>2600020</t>
        </is>
      </c>
      <c r="B5" t="inlineStr">
        <is>
          <t>11.0201</t>
        </is>
      </c>
      <c r="C5" t="inlineStr">
        <is>
          <t>26000200</t>
        </is>
      </c>
      <c r="D5" t="inlineStr">
        <is>
          <t>Computer Programming</t>
        </is>
      </c>
      <c r="E5" t="inlineStr">
        <is>
          <t>Active</t>
        </is>
      </c>
      <c r="F5">
        <f>IF(LEFT(TEXT(C5,"00000000"),5)=LEFT(TEXT(A5,"00000000"),5),"Yes","No")</f>
        <v/>
      </c>
      <c r="G5">
        <f>IF(F5="Yes",1,COUNTIFS(tbl_Programs_Raw[Building_Code],C5))</f>
        <v/>
      </c>
      <c r="H5">
        <f>IF(F5="Yes",1,1/G5)</f>
        <v/>
      </c>
    </row>
    <row r="6">
      <c r="A6" t="inlineStr">
        <is>
          <t>2600020</t>
        </is>
      </c>
      <c r="B6" t="inlineStr">
        <is>
          <t>47.0201</t>
        </is>
      </c>
      <c r="C6" t="inlineStr">
        <is>
          <t>81050100</t>
        </is>
      </c>
      <c r="D6" t="inlineStr">
        <is>
          <t>HVAC (ISD Shared)</t>
        </is>
      </c>
      <c r="E6" t="inlineStr">
        <is>
          <t>Active</t>
        </is>
      </c>
      <c r="F6">
        <f>IF(LEFT(TEXT(C6,"00000000"),5)=LEFT(TEXT(A6,"00000000"),5),"Yes","No")</f>
        <v/>
      </c>
      <c r="G6">
        <f>IF(F6="Yes",1,COUNTIFS(tbl_Programs_Raw[Building_Code],C6))</f>
        <v/>
      </c>
      <c r="H6">
        <f>IF(F6="Yes",1,1/G6)</f>
        <v/>
      </c>
    </row>
    <row r="7">
      <c r="A7" t="inlineStr">
        <is>
          <t>2600020</t>
        </is>
      </c>
      <c r="B7" t="inlineStr">
        <is>
          <t>51.0801</t>
        </is>
      </c>
      <c r="C7" t="inlineStr">
        <is>
          <t>26000201</t>
        </is>
      </c>
      <c r="D7" t="inlineStr">
        <is>
          <t>Medical Assistant</t>
        </is>
      </c>
      <c r="E7" t="inlineStr">
        <is>
          <t>Active</t>
        </is>
      </c>
      <c r="F7">
        <f>IF(LEFT(TEXT(C7,"00000000"),5)=LEFT(TEXT(A7,"00000000"),5),"Yes","No")</f>
        <v/>
      </c>
      <c r="G7">
        <f>IF(F7="Yes",1,COUNTIFS(tbl_Programs_Raw[Building_Code],C7))</f>
        <v/>
      </c>
      <c r="H7">
        <f>IF(F7="Yes",1,1/G7)</f>
        <v/>
      </c>
    </row>
    <row r="8">
      <c r="A8" t="inlineStr">
        <is>
          <t>2601234</t>
        </is>
      </c>
      <c r="B8" t="inlineStr">
        <is>
          <t>47.0201</t>
        </is>
      </c>
      <c r="C8" t="inlineStr">
        <is>
          <t>81050100</t>
        </is>
      </c>
      <c r="D8" t="inlineStr">
        <is>
          <t>HVAC (ISD Shared)</t>
        </is>
      </c>
      <c r="E8" t="inlineStr">
        <is>
          <t>Active</t>
        </is>
      </c>
      <c r="F8">
        <f>IF(LEFT(TEXT(C8,"00000000"),5)=LEFT(TEXT(A8,"00000000"),5),"Yes","No")</f>
        <v/>
      </c>
      <c r="G8">
        <f>IF(F8="Yes",1,COUNTIFS(tbl_Programs_Raw[Building_Code],C8))</f>
        <v/>
      </c>
      <c r="H8">
        <f>IF(F8="Yes",1,1/G8)</f>
        <v/>
      </c>
    </row>
    <row r="9">
      <c r="A9" t="inlineStr">
        <is>
          <t>2601234</t>
        </is>
      </c>
      <c r="B9" t="inlineStr">
        <is>
          <t>51.0911</t>
        </is>
      </c>
      <c r="C9" t="inlineStr">
        <is>
          <t>26012300</t>
        </is>
      </c>
      <c r="D9" t="inlineStr">
        <is>
          <t>Massage Therapy</t>
        </is>
      </c>
      <c r="E9" t="inlineStr">
        <is>
          <t>Active</t>
        </is>
      </c>
      <c r="F9">
        <f>IF(LEFT(TEXT(C9,"00000000"),5)=LEFT(TEXT(A9,"00000000"),5),"Yes","No")</f>
        <v/>
      </c>
      <c r="G9">
        <f>IF(F9="Yes",1,COUNTIFS(tbl_Programs_Raw[Building_Code],C9))</f>
        <v/>
      </c>
      <c r="H9">
        <f>IF(F9="Yes",1,1/G9)</f>
        <v/>
      </c>
    </row>
    <row r="10">
      <c r="A10" t="inlineStr">
        <is>
          <t>2601234</t>
        </is>
      </c>
      <c r="B10" t="inlineStr">
        <is>
          <t>52.0201</t>
        </is>
      </c>
      <c r="C10" t="inlineStr">
        <is>
          <t>26012301</t>
        </is>
      </c>
      <c r="D10" t="inlineStr">
        <is>
          <t>Business Management</t>
        </is>
      </c>
      <c r="E10" t="inlineStr">
        <is>
          <t>Active</t>
        </is>
      </c>
      <c r="F10">
        <f>IF(LEFT(TEXT(C10,"00000000"),5)=LEFT(TEXT(A10,"00000000"),5),"Yes","No")</f>
        <v/>
      </c>
      <c r="G10">
        <f>IF(F10="Yes",1,COUNTIFS(tbl_Programs_Raw[Building_Code],C10))</f>
        <v/>
      </c>
      <c r="H10">
        <f>IF(F10="Yes",1,1/G10)</f>
        <v/>
      </c>
    </row>
    <row r="11">
      <c r="A11" t="inlineStr">
        <is>
          <t>2605678</t>
        </is>
      </c>
      <c r="B11" t="inlineStr">
        <is>
          <t>01.0101</t>
        </is>
      </c>
      <c r="C11" t="inlineStr">
        <is>
          <t>26056780</t>
        </is>
      </c>
      <c r="D11" t="inlineStr">
        <is>
          <t>Agricultural Business</t>
        </is>
      </c>
      <c r="E11" t="inlineStr">
        <is>
          <t>Active</t>
        </is>
      </c>
      <c r="F11">
        <f>IF(LEFT(TEXT(C11,"00000000"),5)=LEFT(TEXT(A11,"00000000"),5),"Yes","No")</f>
        <v/>
      </c>
      <c r="G11">
        <f>IF(F11="Yes",1,COUNTIFS(tbl_Programs_Raw[Building_Code],C11))</f>
        <v/>
      </c>
      <c r="H11">
        <f>IF(F11="Yes",1,1/G11)</f>
        <v/>
      </c>
    </row>
    <row r="12">
      <c r="A12" t="inlineStr">
        <is>
          <t>2605678</t>
        </is>
      </c>
      <c r="B12" t="inlineStr">
        <is>
          <t>47.0201</t>
        </is>
      </c>
      <c r="C12" t="inlineStr">
        <is>
          <t>81050100</t>
        </is>
      </c>
      <c r="D12" t="inlineStr">
        <is>
          <t>HVAC (ISD Shared)</t>
        </is>
      </c>
      <c r="E12" t="inlineStr">
        <is>
          <t>Active</t>
        </is>
      </c>
      <c r="F12">
        <f>IF(LEFT(TEXT(C12,"00000000"),5)=LEFT(TEXT(A12,"00000000"),5),"Yes","No")</f>
        <v/>
      </c>
      <c r="G12">
        <f>IF(F12="Yes",1,COUNTIFS(tbl_Programs_Raw[Building_Code],C12))</f>
        <v/>
      </c>
      <c r="H12">
        <f>IF(F12="Yes",1,1/G12)</f>
        <v/>
      </c>
    </row>
    <row r="13">
      <c r="A13" t="inlineStr">
        <is>
          <t>2609876</t>
        </is>
      </c>
      <c r="B13" t="inlineStr">
        <is>
          <t>01.0101</t>
        </is>
      </c>
      <c r="C13" t="inlineStr">
        <is>
          <t>26098760</t>
        </is>
      </c>
      <c r="D13" t="inlineStr">
        <is>
          <t>Agricultural Science</t>
        </is>
      </c>
      <c r="E13" t="inlineStr">
        <is>
          <t>Active</t>
        </is>
      </c>
      <c r="F13">
        <f>IF(LEFT(TEXT(C13,"00000000"),5)=LEFT(TEXT(A13,"00000000"),5),"Yes","No")</f>
        <v/>
      </c>
      <c r="G13">
        <f>IF(F13="Yes",1,COUNTIFS(tbl_Programs_Raw[Building_Code],C13))</f>
        <v/>
      </c>
      <c r="H13">
        <f>IF(F13="Yes",1,1/G13)</f>
        <v/>
      </c>
    </row>
    <row r="14">
      <c r="A14" t="inlineStr">
        <is>
          <t>2609876</t>
        </is>
      </c>
      <c r="B14" t="inlineStr">
        <is>
          <t>47.0605</t>
        </is>
      </c>
      <c r="C14" t="inlineStr">
        <is>
          <t>81050200</t>
        </is>
      </c>
      <c r="D14" t="inlineStr">
        <is>
          <t>Welding (ISD Shared)</t>
        </is>
      </c>
      <c r="E14" t="inlineStr">
        <is>
          <t>Active</t>
        </is>
      </c>
      <c r="F14">
        <f>IF(LEFT(TEXT(C14,"00000000"),5)=LEFT(TEXT(A14,"00000000"),5),"Yes","No")</f>
        <v/>
      </c>
      <c r="G14">
        <f>IF(F14="Yes",1,COUNTIFS(tbl_Programs_Raw[Building_Code],C14))</f>
        <v/>
      </c>
      <c r="H14">
        <f>IF(F14="Yes",1,1/G14)</f>
        <v/>
      </c>
    </row>
    <row r="15">
      <c r="A15" t="inlineStr">
        <is>
          <t>2602345</t>
        </is>
      </c>
      <c r="B15" t="inlineStr">
        <is>
          <t>47.0201</t>
        </is>
      </c>
      <c r="C15" t="inlineStr">
        <is>
          <t>26023450</t>
        </is>
      </c>
      <c r="D15" t="inlineStr">
        <is>
          <t>HVAC Technology</t>
        </is>
      </c>
      <c r="E15" t="inlineStr">
        <is>
          <t>Active</t>
        </is>
      </c>
      <c r="F15">
        <f>IF(LEFT(TEXT(C15,"00000000"),5)=LEFT(TEXT(A15,"00000000"),5),"Yes","No")</f>
        <v/>
      </c>
      <c r="G15">
        <f>IF(F15="Yes",1,COUNTIFS(tbl_Programs_Raw[Building_Code],C15))</f>
        <v/>
      </c>
      <c r="H15">
        <f>IF(F15="Yes",1,1/G15)</f>
        <v/>
      </c>
    </row>
    <row r="16">
      <c r="A16" t="inlineStr">
        <is>
          <t>2602345</t>
        </is>
      </c>
      <c r="B16" t="inlineStr">
        <is>
          <t>52.0201</t>
        </is>
      </c>
      <c r="C16" t="inlineStr">
        <is>
          <t>26023451</t>
        </is>
      </c>
      <c r="D16" t="inlineStr">
        <is>
          <t>Business &amp; Marketing</t>
        </is>
      </c>
      <c r="E16" t="inlineStr">
        <is>
          <t>Active</t>
        </is>
      </c>
      <c r="F16">
        <f>IF(LEFT(TEXT(C16,"00000000"),5)=LEFT(TEXT(A16,"00000000"),5),"Yes","No")</f>
        <v/>
      </c>
      <c r="G16">
        <f>IF(F16="Yes",1,COUNTIFS(tbl_Programs_Raw[Building_Code],C16))</f>
        <v/>
      </c>
      <c r="H16">
        <f>IF(F16="Yes",1,1/G16)</f>
        <v/>
      </c>
    </row>
    <row r="17">
      <c r="A17" t="inlineStr">
        <is>
          <t>2602345</t>
        </is>
      </c>
      <c r="B17" t="inlineStr">
        <is>
          <t>51.0801</t>
        </is>
      </c>
      <c r="C17" t="inlineStr">
        <is>
          <t>26023452</t>
        </is>
      </c>
      <c r="D17" t="inlineStr">
        <is>
          <t>Health Occupations</t>
        </is>
      </c>
      <c r="E17" t="inlineStr">
        <is>
          <t>Active</t>
        </is>
      </c>
      <c r="F17">
        <f>IF(LEFT(TEXT(C17,"00000000"),5)=LEFT(TEXT(A17,"00000000"),5),"Yes","No")</f>
        <v/>
      </c>
      <c r="G17">
        <f>IF(F17="Yes",1,COUNTIFS(tbl_Programs_Raw[Building_Code],C17))</f>
        <v/>
      </c>
      <c r="H17">
        <f>IF(F17="Yes",1,1/G17)</f>
        <v/>
      </c>
    </row>
    <row r="18">
      <c r="A18" t="inlineStr">
        <is>
          <t>2602345</t>
        </is>
      </c>
      <c r="B18" t="inlineStr">
        <is>
          <t>11.0201</t>
        </is>
      </c>
      <c r="C18" t="inlineStr">
        <is>
          <t>26023453</t>
        </is>
      </c>
      <c r="D18" t="inlineStr">
        <is>
          <t>Information Technology</t>
        </is>
      </c>
      <c r="E18" t="inlineStr">
        <is>
          <t>Active</t>
        </is>
      </c>
      <c r="F18">
        <f>IF(LEFT(TEXT(C18,"00000000"),5)=LEFT(TEXT(A18,"00000000"),5),"Yes","No")</f>
        <v/>
      </c>
      <c r="G18">
        <f>IF(F18="Yes",1,COUNTIFS(tbl_Programs_Raw[Building_Code],C18))</f>
        <v/>
      </c>
      <c r="H18">
        <f>IF(F18="Yes",1,1/G18)</f>
        <v/>
      </c>
    </row>
    <row r="19">
      <c r="A19" t="inlineStr">
        <is>
          <t>2603456</t>
        </is>
      </c>
      <c r="B19" t="inlineStr">
        <is>
          <t>11.0201</t>
        </is>
      </c>
      <c r="C19" t="inlineStr">
        <is>
          <t>26034560</t>
        </is>
      </c>
      <c r="D19" t="inlineStr">
        <is>
          <t>Computer Science</t>
        </is>
      </c>
      <c r="E19" t="inlineStr">
        <is>
          <t>Active</t>
        </is>
      </c>
      <c r="F19">
        <f>IF(LEFT(TEXT(C19,"00000000"),5)=LEFT(TEXT(A19,"00000000"),5),"Yes","No")</f>
        <v/>
      </c>
      <c r="G19">
        <f>IF(F19="Yes",1,COUNTIFS(tbl_Programs_Raw[Building_Code],C19))</f>
        <v/>
      </c>
      <c r="H19">
        <f>IF(F19="Yes",1,1/G19)</f>
        <v/>
      </c>
    </row>
    <row r="20">
      <c r="A20" t="inlineStr">
        <is>
          <t>2603456</t>
        </is>
      </c>
      <c r="B20" t="inlineStr">
        <is>
          <t>52.0201</t>
        </is>
      </c>
      <c r="C20" t="inlineStr">
        <is>
          <t>26034561</t>
        </is>
      </c>
      <c r="D20" t="inlineStr">
        <is>
          <t>Business Analytics</t>
        </is>
      </c>
      <c r="E20" t="inlineStr">
        <is>
          <t>Active</t>
        </is>
      </c>
      <c r="F20">
        <f>IF(LEFT(TEXT(C20,"00000000"),5)=LEFT(TEXT(A20,"00000000"),5),"Yes","No")</f>
        <v/>
      </c>
      <c r="G20">
        <f>IF(F20="Yes",1,COUNTIFS(tbl_Programs_Raw[Building_Code],C20))</f>
        <v/>
      </c>
      <c r="H20">
        <f>IF(F20="Yes",1,1/G20)</f>
        <v/>
      </c>
    </row>
    <row r="21">
      <c r="A21" t="inlineStr">
        <is>
          <t>2604567</t>
        </is>
      </c>
      <c r="B21" t="inlineStr">
        <is>
          <t>51.0801</t>
        </is>
      </c>
      <c r="C21" t="inlineStr">
        <is>
          <t>26045670</t>
        </is>
      </c>
      <c r="D21" t="inlineStr">
        <is>
          <t>Medical Careers</t>
        </is>
      </c>
      <c r="E21" t="inlineStr">
        <is>
          <t>Active</t>
        </is>
      </c>
      <c r="F21">
        <f>IF(LEFT(TEXT(C21,"00000000"),5)=LEFT(TEXT(A21,"00000000"),5),"Yes","No")</f>
        <v/>
      </c>
      <c r="G21">
        <f>IF(F21="Yes",1,COUNTIFS(tbl_Programs_Raw[Building_Code],C21))</f>
        <v/>
      </c>
      <c r="H21">
        <f>IF(F21="Yes",1,1/G21)</f>
        <v/>
      </c>
    </row>
    <row r="22">
      <c r="A22" t="inlineStr">
        <is>
          <t>2604567</t>
        </is>
      </c>
      <c r="B22" t="inlineStr">
        <is>
          <t>47.0201</t>
        </is>
      </c>
      <c r="C22" t="inlineStr">
        <is>
          <t>81050100</t>
        </is>
      </c>
      <c r="D22" t="inlineStr">
        <is>
          <t>HVAC (ISD Shared)</t>
        </is>
      </c>
      <c r="E22" t="inlineStr">
        <is>
          <t>Active</t>
        </is>
      </c>
      <c r="F22">
        <f>IF(LEFT(TEXT(C22,"00000000"),5)=LEFT(TEXT(A22,"00000000"),5),"Yes","No")</f>
        <v/>
      </c>
      <c r="G22">
        <f>IF(F22="Yes",1,COUNTIFS(tbl_Programs_Raw[Building_Code],C22))</f>
        <v/>
      </c>
      <c r="H22">
        <f>IF(F22="Yes",1,1/G22)</f>
        <v/>
      </c>
    </row>
    <row r="23">
      <c r="A23" t="inlineStr">
        <is>
          <t>2606789</t>
        </is>
      </c>
      <c r="B23" t="inlineStr">
        <is>
          <t>01.0101</t>
        </is>
      </c>
      <c r="C23" t="inlineStr">
        <is>
          <t>26067890</t>
        </is>
      </c>
      <c r="D23" t="inlineStr">
        <is>
          <t>Agriculture &amp; Natural Resources</t>
        </is>
      </c>
      <c r="E23" t="inlineStr">
        <is>
          <t>Active</t>
        </is>
      </c>
      <c r="F23">
        <f>IF(LEFT(TEXT(C23,"00000000"),5)=LEFT(TEXT(A23,"00000000"),5),"Yes","No")</f>
        <v/>
      </c>
      <c r="G23">
        <f>IF(F23="Yes",1,COUNTIFS(tbl_Programs_Raw[Building_Code],C23))</f>
        <v/>
      </c>
      <c r="H23">
        <f>IF(F23="Yes",1,1/G23)</f>
        <v/>
      </c>
    </row>
    <row r="24">
      <c r="A24" t="inlineStr">
        <is>
          <t>2606789</t>
        </is>
      </c>
      <c r="B24" t="inlineStr">
        <is>
          <t>47.0605</t>
        </is>
      </c>
      <c r="C24" t="inlineStr">
        <is>
          <t>81050200</t>
        </is>
      </c>
      <c r="D24" t="inlineStr">
        <is>
          <t>Welding (ISD Shared)</t>
        </is>
      </c>
      <c r="E24" t="inlineStr">
        <is>
          <t>Active</t>
        </is>
      </c>
      <c r="F24">
        <f>IF(LEFT(TEXT(C24,"00000000"),5)=LEFT(TEXT(A24,"00000000"),5),"Yes","No")</f>
        <v/>
      </c>
      <c r="G24">
        <f>IF(F24="Yes",1,COUNTIFS(tbl_Programs_Raw[Building_Code],C24))</f>
        <v/>
      </c>
      <c r="H24">
        <f>IF(F24="Yes",1,1/G24)</f>
        <v/>
      </c>
    </row>
    <row r="25">
      <c r="A25" t="inlineStr">
        <is>
          <t>2607890</t>
        </is>
      </c>
      <c r="B25" t="inlineStr">
        <is>
          <t>47.0605</t>
        </is>
      </c>
      <c r="C25" t="inlineStr">
        <is>
          <t>81050200</t>
        </is>
      </c>
      <c r="D25" t="inlineStr">
        <is>
          <t>Welding (ISD Shared)</t>
        </is>
      </c>
      <c r="E25" t="inlineStr">
        <is>
          <t>Active</t>
        </is>
      </c>
      <c r="F25">
        <f>IF(LEFT(TEXT(C25,"00000000"),5)=LEFT(TEXT(A25,"00000000"),5),"Yes","No")</f>
        <v/>
      </c>
      <c r="G25">
        <f>IF(F25="Yes",1,COUNTIFS(tbl_Programs_Raw[Building_Code],C25))</f>
        <v/>
      </c>
      <c r="H25">
        <f>IF(F25="Yes",1,1/G25)</f>
        <v/>
      </c>
    </row>
    <row r="26">
      <c r="A26" t="inlineStr">
        <is>
          <t>2607890</t>
        </is>
      </c>
      <c r="B26" t="inlineStr">
        <is>
          <t>47.0201</t>
        </is>
      </c>
      <c r="C26" t="inlineStr">
        <is>
          <t>26078900</t>
        </is>
      </c>
      <c r="D26" t="inlineStr">
        <is>
          <t>Building Trades</t>
        </is>
      </c>
      <c r="E26" t="inlineStr">
        <is>
          <t>Active</t>
        </is>
      </c>
      <c r="F26">
        <f>IF(LEFT(TEXT(C26,"00000000"),5)=LEFT(TEXT(A26,"00000000"),5),"Yes","No")</f>
        <v/>
      </c>
      <c r="G26">
        <f>IF(F26="Yes",1,COUNTIFS(tbl_Programs_Raw[Building_Code],C26))</f>
        <v/>
      </c>
      <c r="H26">
        <f>IF(F26="Yes",1,1/G26)</f>
        <v/>
      </c>
    </row>
    <row r="27">
      <c r="A27" t="inlineStr">
        <is>
          <t>2608901</t>
        </is>
      </c>
      <c r="B27" t="inlineStr">
        <is>
          <t>01.0101</t>
        </is>
      </c>
      <c r="C27" t="inlineStr">
        <is>
          <t>26089010</t>
        </is>
      </c>
      <c r="D27" t="inlineStr">
        <is>
          <t>Natural Resources</t>
        </is>
      </c>
      <c r="E27" t="inlineStr">
        <is>
          <t>Active</t>
        </is>
      </c>
      <c r="F27">
        <f>IF(LEFT(TEXT(C27,"00000000"),5)=LEFT(TEXT(A27,"00000000"),5),"Yes","No")</f>
        <v/>
      </c>
      <c r="G27">
        <f>IF(F27="Yes",1,COUNTIFS(tbl_Programs_Raw[Building_Code],C27))</f>
        <v/>
      </c>
      <c r="H27">
        <f>IF(F27="Yes",1,1/G27)</f>
        <v/>
      </c>
    </row>
    <row r="28">
      <c r="A28" t="inlineStr">
        <is>
          <t>2608901</t>
        </is>
      </c>
      <c r="B28" t="inlineStr">
        <is>
          <t>47.0605</t>
        </is>
      </c>
      <c r="C28" t="inlineStr">
        <is>
          <t>26089011</t>
        </is>
      </c>
      <c r="D28" t="inlineStr">
        <is>
          <t>Manufacturing Technology</t>
        </is>
      </c>
      <c r="E28" t="inlineStr">
        <is>
          <t>Active</t>
        </is>
      </c>
      <c r="F28">
        <f>IF(LEFT(TEXT(C28,"00000000"),5)=LEFT(TEXT(A28,"00000000"),5),"Yes","No")</f>
        <v/>
      </c>
      <c r="G28">
        <f>IF(F28="Yes",1,COUNTIFS(tbl_Programs_Raw[Building_Code],C28))</f>
        <v/>
      </c>
      <c r="H28">
        <f>IF(F28="Yes",1,1/G28)</f>
        <v/>
      </c>
    </row>
    <row r="29">
      <c r="A29" t="inlineStr">
        <is>
          <t>2600234</t>
        </is>
      </c>
      <c r="B29" t="inlineStr">
        <is>
          <t>51.0801</t>
        </is>
      </c>
      <c r="C29" t="inlineStr">
        <is>
          <t>26002340</t>
        </is>
      </c>
      <c r="D29" t="inlineStr">
        <is>
          <t>Health Sciences</t>
        </is>
      </c>
      <c r="E29" t="inlineStr">
        <is>
          <t>Active</t>
        </is>
      </c>
      <c r="F29">
        <f>IF(LEFT(TEXT(C29,"00000000"),5)=LEFT(TEXT(A29,"00000000"),5),"Yes","No")</f>
        <v/>
      </c>
      <c r="G29">
        <f>IF(F29="Yes",1,COUNTIFS(tbl_Programs_Raw[Building_Code],C29))</f>
        <v/>
      </c>
      <c r="H29">
        <f>IF(F29="Yes",1,1/G29)</f>
        <v/>
      </c>
    </row>
    <row r="30">
      <c r="A30" t="inlineStr">
        <is>
          <t>2600234</t>
        </is>
      </c>
      <c r="B30" t="inlineStr">
        <is>
          <t>11.0201</t>
        </is>
      </c>
      <c r="C30" t="inlineStr">
        <is>
          <t>26002341</t>
        </is>
      </c>
      <c r="D30" t="inlineStr">
        <is>
          <t>IT &amp; Cybersecurity</t>
        </is>
      </c>
      <c r="E30" t="inlineStr">
        <is>
          <t>Active</t>
        </is>
      </c>
      <c r="F30">
        <f>IF(LEFT(TEXT(C30,"00000000"),5)=LEFT(TEXT(A30,"00000000"),5),"Yes","No")</f>
        <v/>
      </c>
      <c r="G30">
        <f>IF(F30="Yes",1,COUNTIFS(tbl_Programs_Raw[Building_Code],C30))</f>
        <v/>
      </c>
      <c r="H30">
        <f>IF(F30="Yes",1,1/G30)</f>
        <v/>
      </c>
    </row>
    <row r="31">
      <c r="A31" t="inlineStr">
        <is>
          <t>2601345</t>
        </is>
      </c>
      <c r="B31" t="inlineStr">
        <is>
          <t>52.0201</t>
        </is>
      </c>
      <c r="C31" t="inlineStr">
        <is>
          <t>26013450</t>
        </is>
      </c>
      <c r="D31" t="inlineStr">
        <is>
          <t>Business Technology</t>
        </is>
      </c>
      <c r="E31" t="inlineStr">
        <is>
          <t>Active</t>
        </is>
      </c>
      <c r="F31">
        <f>IF(LEFT(TEXT(C31,"00000000"),5)=LEFT(TEXT(A31,"00000000"),5),"Yes","No")</f>
        <v/>
      </c>
      <c r="G31">
        <f>IF(F31="Yes",1,COUNTIFS(tbl_Programs_Raw[Building_Code],C31))</f>
        <v/>
      </c>
      <c r="H31">
        <f>IF(F31="Yes",1,1/G31)</f>
        <v/>
      </c>
    </row>
    <row r="32">
      <c r="A32" t="inlineStr">
        <is>
          <t>2601345</t>
        </is>
      </c>
      <c r="B32" t="inlineStr">
        <is>
          <t>47.0201</t>
        </is>
      </c>
      <c r="C32" t="inlineStr">
        <is>
          <t>26013451</t>
        </is>
      </c>
      <c r="D32" t="inlineStr">
        <is>
          <t>Engineering &amp; Trades</t>
        </is>
      </c>
      <c r="E32" t="inlineStr">
        <is>
          <t>Active</t>
        </is>
      </c>
      <c r="F32">
        <f>IF(LEFT(TEXT(C32,"00000000"),5)=LEFT(TEXT(A32,"00000000"),5),"Yes","No")</f>
        <v/>
      </c>
      <c r="G32">
        <f>IF(F32="Yes",1,COUNTIFS(tbl_Programs_Raw[Building_Code],C32))</f>
        <v/>
      </c>
      <c r="H32">
        <f>IF(F32="Yes",1,1/G32)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90EE9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Total_Programs</t>
        </is>
      </c>
      <c r="D1" s="2" t="inlineStr">
        <is>
          <t>StatePathways_Count</t>
        </is>
      </c>
      <c r="E1" s="2" t="inlineStr">
        <is>
          <t>OCQ</t>
        </is>
      </c>
      <c r="F1" s="2" t="inlineStr">
        <is>
          <t>OCQ_Category</t>
        </is>
      </c>
    </row>
    <row r="2">
      <c r="A2" t="inlineStr">
        <is>
          <t>2600010</t>
        </is>
      </c>
      <c r="B2" t="inlineStr">
        <is>
          <t>Detroit Public Schools</t>
        </is>
      </c>
      <c r="C2">
        <f>SUMIFS(tbl_Programs_Fractional[Fractional_Credit],tbl_Programs_Fractional[NCES_ID],A2)</f>
        <v/>
      </c>
      <c r="D2">
        <f>StatePathways_Count</f>
        <v/>
      </c>
      <c r="E2">
        <f>IF(C2=0,0,C2/D2*100)</f>
        <v/>
      </c>
      <c r="F2">
        <f>IFS(E2=0,"No CTE",E2&lt;25,"Limited (&lt;25%)",E2&lt;50,"Moderate (25-50%)",E2&lt;75,"Substantial (50-75%)",TRUE,"Comprehensive (≥75%)")</f>
        <v/>
      </c>
    </row>
    <row r="3">
      <c r="A3" t="inlineStr">
        <is>
          <t>2600020</t>
        </is>
      </c>
      <c r="B3" t="inlineStr">
        <is>
          <t>Ann Arbor Public Schools</t>
        </is>
      </c>
      <c r="C3">
        <f>SUMIFS(tbl_Programs_Fractional[Fractional_Credit],tbl_Programs_Fractional[NCES_ID],A3)</f>
        <v/>
      </c>
      <c r="D3">
        <f>StatePathways_Count</f>
        <v/>
      </c>
      <c r="E3">
        <f>IF(C3=0,0,C3/D3*100)</f>
        <v/>
      </c>
      <c r="F3">
        <f>IFS(E3=0,"No CTE",E3&lt;25,"Limited (&lt;25%)",E3&lt;50,"Moderate (25-50%)",E3&lt;75,"Substantial (50-75%)",TRUE,"Comprehensive (≥75%)")</f>
        <v/>
      </c>
    </row>
    <row r="4">
      <c r="A4" t="inlineStr">
        <is>
          <t>2601234</t>
        </is>
      </c>
      <c r="B4" t="inlineStr">
        <is>
          <t>Traverse City Area PS</t>
        </is>
      </c>
      <c r="C4">
        <f>SUMIFS(tbl_Programs_Fractional[Fractional_Credit],tbl_Programs_Fractional[NCES_ID],A4)</f>
        <v/>
      </c>
      <c r="D4">
        <f>StatePathways_Count</f>
        <v/>
      </c>
      <c r="E4">
        <f>IF(C4=0,0,C4/D4*100)</f>
        <v/>
      </c>
      <c r="F4">
        <f>IFS(E4=0,"No CTE",E4&lt;25,"Limited (&lt;25%)",E4&lt;50,"Moderate (25-50%)",E4&lt;75,"Substantial (50-75%)",TRUE,"Comprehensive (≥75%)")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>
        <f>SUMIFS(tbl_Programs_Fractional[Fractional_Credit],tbl_Programs_Fractional[NCES_ID],A5)</f>
        <v/>
      </c>
      <c r="D5">
        <f>StatePathways_Count</f>
        <v/>
      </c>
      <c r="E5">
        <f>IF(C5=0,0,C5/D5*100)</f>
        <v/>
      </c>
      <c r="F5">
        <f>IFS(E5=0,"No CTE",E5&lt;25,"Limited (&lt;25%)",E5&lt;50,"Moderate (25-50%)",E5&lt;75,"Substantial (50-75%)",TRUE,"Comprehensive (≥75%)")</f>
        <v/>
      </c>
    </row>
    <row r="6">
      <c r="A6" t="inlineStr">
        <is>
          <t>2609876</t>
        </is>
      </c>
      <c r="B6" t="inlineStr">
        <is>
          <t>Onaway Area Community SD</t>
        </is>
      </c>
      <c r="C6">
        <f>SUMIFS(tbl_Programs_Fractional[Fractional_Credit],tbl_Programs_Fractional[NCES_ID],A6)</f>
        <v/>
      </c>
      <c r="D6">
        <f>StatePathways_Count</f>
        <v/>
      </c>
      <c r="E6">
        <f>IF(C6=0,0,C6/D6*100)</f>
        <v/>
      </c>
      <c r="F6">
        <f>IFS(E6=0,"No CTE",E6&lt;25,"Limited (&lt;25%)",E6&lt;50,"Moderate (25-50%)",E6&lt;75,"Substantial (50-75%)",TRUE,"Comprehensive (≥75%)")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>
        <f>SUMIFS(tbl_Programs_Fractional[Fractional_Credit],tbl_Programs_Fractional[NCES_ID],A7)</f>
        <v/>
      </c>
      <c r="D7">
        <f>StatePathways_Count</f>
        <v/>
      </c>
      <c r="E7">
        <f>IF(C7=0,0,C7/D7*100)</f>
        <v/>
      </c>
      <c r="F7">
        <f>IFS(E7=0,"No CTE",E7&lt;25,"Limited (&lt;25%)",E7&lt;50,"Moderate (25-50%)",E7&lt;75,"Substantial (50-75%)",TRUE,"Comprehensive (≥75%)")</f>
        <v/>
      </c>
    </row>
    <row r="8">
      <c r="A8" t="inlineStr">
        <is>
          <t>2603456</t>
        </is>
      </c>
      <c r="B8" t="inlineStr">
        <is>
          <t>Novi Community Schools</t>
        </is>
      </c>
      <c r="C8">
        <f>SUMIFS(tbl_Programs_Fractional[Fractional_Credit],tbl_Programs_Fractional[NCES_ID],A8)</f>
        <v/>
      </c>
      <c r="D8">
        <f>StatePathways_Count</f>
        <v/>
      </c>
      <c r="E8">
        <f>IF(C8=0,0,C8/D8*100)</f>
        <v/>
      </c>
      <c r="F8">
        <f>IFS(E8=0,"No CTE",E8&lt;25,"Limited (&lt;25%)",E8&lt;50,"Moderate (25-50%)",E8&lt;75,"Substantial (50-75%)",TRUE,"Comprehensive (≥75%)")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>
        <f>SUMIFS(tbl_Programs_Fractional[Fractional_Credit],tbl_Programs_Fractional[NCES_ID],A9)</f>
        <v/>
      </c>
      <c r="D9">
        <f>StatePathways_Count</f>
        <v/>
      </c>
      <c r="E9">
        <f>IF(C9=0,0,C9/D9*100)</f>
        <v/>
      </c>
      <c r="F9">
        <f>IFS(E9=0,"No CTE",E9&lt;25,"Limited (&lt;25%)",E9&lt;50,"Moderate (25-50%)",E9&lt;75,"Substantial (50-75%)",TRUE,"Comprehensive (≥75%)")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>
        <f>SUMIFS(tbl_Programs_Fractional[Fractional_Credit],tbl_Programs_Fractional[NCES_ID],A10)</f>
        <v/>
      </c>
      <c r="D10">
        <f>StatePathways_Count</f>
        <v/>
      </c>
      <c r="E10">
        <f>IF(C10=0,0,C10/D10*100)</f>
        <v/>
      </c>
      <c r="F10">
        <f>IFS(E10=0,"No CTE",E10&lt;25,"Limited (&lt;25%)",E10&lt;50,"Moderate (25-50%)",E10&lt;75,"Substantial (50-75%)",TRUE,"Comprehensive (≥75%)")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>
        <f>SUMIFS(tbl_Programs_Fractional[Fractional_Credit],tbl_Programs_Fractional[NCES_ID],A11)</f>
        <v/>
      </c>
      <c r="D11">
        <f>StatePathways_Count</f>
        <v/>
      </c>
      <c r="E11">
        <f>IF(C11=0,0,C11/D11*100)</f>
        <v/>
      </c>
      <c r="F11">
        <f>IFS(E11=0,"No CTE",E11&lt;25,"Limited (&lt;25%)",E11&lt;50,"Moderate (25-50%)",E11&lt;75,"Substantial (50-75%)",TRUE,"Comprehensive (≥75%)")</f>
        <v/>
      </c>
    </row>
    <row r="12">
      <c r="A12" t="inlineStr">
        <is>
          <t>2608901</t>
        </is>
      </c>
      <c r="B12" t="inlineStr">
        <is>
          <t>Ironwood Area Schools</t>
        </is>
      </c>
      <c r="C12">
        <f>SUMIFS(tbl_Programs_Fractional[Fractional_Credit],tbl_Programs_Fractional[NCES_ID],A12)</f>
        <v/>
      </c>
      <c r="D12">
        <f>StatePathways_Count</f>
        <v/>
      </c>
      <c r="E12">
        <f>IF(C12=0,0,C12/D12*100)</f>
        <v/>
      </c>
      <c r="F12">
        <f>IFS(E12=0,"No CTE",E12&lt;25,"Limited (&lt;25%)",E12&lt;50,"Moderate (25-50%)",E12&lt;75,"Substantial (50-75%)",TRUE,"Comprehensive (≥75%)")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>
        <f>SUMIFS(tbl_Programs_Fractional[Fractional_Credit],tbl_Programs_Fractional[NCES_ID],A13)</f>
        <v/>
      </c>
      <c r="D13">
        <f>StatePathways_Count</f>
        <v/>
      </c>
      <c r="E13">
        <f>IF(C13=0,0,C13/D13*100)</f>
        <v/>
      </c>
      <c r="F13">
        <f>IFS(E13=0,"No CTE",E13&lt;25,"Limited (&lt;25%)",E13&lt;50,"Moderate (25-50%)",E13&lt;75,"Substantial (50-75%)",TRUE,"Comprehensive (≥75%)")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>
        <f>SUMIFS(tbl_Programs_Fractional[Fractional_Credit],tbl_Programs_Fractional[NCES_ID],A14)</f>
        <v/>
      </c>
      <c r="D14">
        <f>StatePathways_Count</f>
        <v/>
      </c>
      <c r="E14">
        <f>IF(C14=0,0,C14/D14*100)</f>
        <v/>
      </c>
      <c r="F14">
        <f>IFS(E14=0,"No CTE",E14&lt;25,"Limited (&lt;25%)",E14&lt;50,"Moderate (25-50%)",E14&lt;75,"Substantial (50-75%)",TRUE,"Comprehensive (≥75%)")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F0F0F0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County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SOC_Code</t>
        </is>
      </c>
      <c r="G1" s="2" t="inlineStr">
        <is>
          <t>Occupation_Title</t>
        </is>
      </c>
      <c r="H1" s="2" t="inlineStr">
        <is>
          <t>Median_Wage</t>
        </is>
      </c>
      <c r="I1" s="2" t="inlineStr">
        <is>
          <t>Regional_Median_Wage</t>
        </is>
      </c>
      <c r="J1" s="2" t="inlineStr">
        <is>
          <t>Annual_Openings_Current</t>
        </is>
      </c>
      <c r="K1" s="2" t="inlineStr">
        <is>
          <t>Annual_Openings_10yr</t>
        </is>
      </c>
      <c r="L1" s="2" t="inlineStr">
        <is>
          <t>Wage_Ratio</t>
        </is>
      </c>
      <c r="M1" s="2" t="inlineStr">
        <is>
          <t>Is_High_Wage_110</t>
        </is>
      </c>
      <c r="N1" s="2" t="inlineStr">
        <is>
          <t>Is_High_Wage_120</t>
        </is>
      </c>
      <c r="O1" s="2" t="inlineStr">
        <is>
          <t>Is_High_Wage_130</t>
        </is>
      </c>
      <c r="P1" s="2" t="inlineStr">
        <is>
          <t>Rank_Current</t>
        </is>
      </c>
      <c r="Q1" s="2" t="inlineStr">
        <is>
          <t>Rank_10yr</t>
        </is>
      </c>
      <c r="R1" s="2" t="inlineStr">
        <is>
          <t>Is_Top15_Current</t>
        </is>
      </c>
      <c r="S1" s="2" t="inlineStr">
        <is>
          <t>Is_Top20_Current</t>
        </is>
      </c>
      <c r="T1" s="2" t="inlineStr">
        <is>
          <t>Is_Top15_10yr</t>
        </is>
      </c>
      <c r="U1" s="2" t="inlineStr">
        <is>
          <t>Is_Top20_10yr</t>
        </is>
      </c>
      <c r="V1" s="2" t="inlineStr">
        <is>
          <t>Aligned_110_Top15_Current</t>
        </is>
      </c>
      <c r="W1" s="2" t="inlineStr">
        <is>
          <t>Aligned_110_Top15_10yr</t>
        </is>
      </c>
      <c r="X1" s="2" t="inlineStr">
        <is>
          <t>Aligned_110_Top20_Current</t>
        </is>
      </c>
      <c r="Y1" s="2" t="inlineStr">
        <is>
          <t>Aligned_110_Top20_10yr</t>
        </is>
      </c>
      <c r="Z1" s="2" t="inlineStr">
        <is>
          <t>Aligned_120_Top15_Current</t>
        </is>
      </c>
      <c r="AA1" s="2" t="inlineStr">
        <is>
          <t>Aligned_120_Top15_10yr</t>
        </is>
      </c>
      <c r="AB1" s="2" t="inlineStr">
        <is>
          <t>Aligned_120_Top20_Current</t>
        </is>
      </c>
      <c r="AC1" s="2" t="inlineStr">
        <is>
          <t>Aligned_120_Top20_10yr</t>
        </is>
      </c>
      <c r="AD1" s="2" t="inlineStr">
        <is>
          <t>Aligned_130_Top15_Current</t>
        </is>
      </c>
      <c r="AE1" s="2" t="inlineStr">
        <is>
          <t>Aligned_130_Top15_10yr</t>
        </is>
      </c>
      <c r="AF1" s="2" t="inlineStr">
        <is>
          <t>Aligned_130_Top20_Current</t>
        </is>
      </c>
      <c r="AG1" s="2" t="inlineStr">
        <is>
          <t>Aligned_130_Top20_10yr</t>
        </is>
      </c>
    </row>
    <row r="2">
      <c r="A2" t="inlineStr">
        <is>
          <t>2600010</t>
        </is>
      </c>
      <c r="B2">
        <f>IFERROR(INDEX(tbl_Districts_Clean[District_Name],MATCH(A2,tbl_Districts_Clean[NCES_ID],0)),"")</f>
        <v/>
      </c>
      <c r="C2">
        <f>IFERROR(INDEX(tbl_Districts_Clean[County],MATCH(A2,tbl_Districts_Clean[NCES_ID],0)),"")</f>
        <v/>
      </c>
      <c r="D2" t="inlineStr">
        <is>
          <t>47.0201</t>
        </is>
      </c>
      <c r="E2" t="inlineStr">
        <is>
          <t>Heating, AC &amp; Refrigeration</t>
        </is>
      </c>
      <c r="F2">
        <f>IFERROR(INDEX(tbl_CIP_SOC_Crosswalk[SOC_Code],MATCH(D2,tbl_CIP_SOC_Crosswalk[CIP_Code],0)),"")</f>
        <v/>
      </c>
      <c r="G2">
        <f>IFERROR(INDEX(tbl_CIP_SOC_Crosswalk[Pathway_Name],MATCH(D2,tbl_CIP_SOC_Crosswalk[CIP_Code],0)),"")</f>
        <v/>
      </c>
      <c r="H2">
        <f>IFERROR(SUMIFS(tbl_Labor_County[Median_Wage],tbl_Labor_County[County],C2,tbl_Labor_County[SOC_Code],F2),0)</f>
        <v/>
      </c>
      <c r="I2">
        <f>IFERROR(SUMIFS(tbl_Labor_County[Regional_Median_Wage],tbl_Labor_County[County],C2,tbl_Labor_County[SOC_Code],F2),0)</f>
        <v/>
      </c>
      <c r="J2">
        <f>IFERROR(SUMIFS(tbl_Labor_County[Annual_Openings_Current],tbl_Labor_County[County],C2,tbl_Labor_County[SOC_Code],F2),0)</f>
        <v/>
      </c>
      <c r="K2">
        <f>IFERROR(SUMIFS(tbl_Labor_County[Annual_Openings_10yr],tbl_Labor_County[County],C2,tbl_Labor_County[SOC_Code],F2),0)</f>
        <v/>
      </c>
      <c r="L2">
        <f>IF(I2=0,0,H2/I2)</f>
        <v/>
      </c>
      <c r="M2">
        <f>IF(L2&gt;=1.10,"Yes","No")</f>
        <v/>
      </c>
      <c r="N2">
        <f>IF(L2&gt;=1.20,"Yes","No")</f>
        <v/>
      </c>
      <c r="O2">
        <f>IF(L2&gt;=1.30,"Yes","No")</f>
        <v/>
      </c>
      <c r="P2">
        <f>IF(J2=0,999,COUNTIFS(tbl_Labor_County[County],C2,tbl_Labor_County[Annual_Openings_Current],"&gt;"&amp;J2)+1)</f>
        <v/>
      </c>
      <c r="Q2">
        <f>IF(K2=0,999,COUNTIFS(tbl_Labor_County[County],C2,tbl_Labor_County[Annual_Openings_10yr],"&gt;"&amp;K2)+1)</f>
        <v/>
      </c>
      <c r="R2">
        <f>IF(P2&lt;=15,"Yes","No")</f>
        <v/>
      </c>
      <c r="S2">
        <f>IF(P2&lt;=20,"Yes","No")</f>
        <v/>
      </c>
      <c r="T2">
        <f>IF(Q2&lt;=15,"Yes","No")</f>
        <v/>
      </c>
      <c r="U2">
        <f>IF(Q2&lt;=20,"Yes","No")</f>
        <v/>
      </c>
      <c r="V2">
        <f>IF(AND(M2="Yes",R2="Yes"),"Yes","No")</f>
        <v/>
      </c>
      <c r="W2">
        <f>IF(AND(M2="Yes",T2="Yes"),"Yes","No")</f>
        <v/>
      </c>
      <c r="X2">
        <f>IF(AND(M2="Yes",S2="Yes"),"Yes","No")</f>
        <v/>
      </c>
      <c r="Y2">
        <f>IF(AND(M2="Yes",U2="Yes"),"Yes","No")</f>
        <v/>
      </c>
      <c r="Z2">
        <f>IF(AND(N2="Yes",R2="Yes"),"Yes","No")</f>
        <v/>
      </c>
      <c r="AA2">
        <f>IF(AND(N2="Yes",T2="Yes"),"Yes","No")</f>
        <v/>
      </c>
      <c r="AB2">
        <f>IF(AND(N2="Yes",S2="Yes"),"Yes","No")</f>
        <v/>
      </c>
      <c r="AC2">
        <f>IF(AND(N2="Yes",U2="Yes"),"Yes","No")</f>
        <v/>
      </c>
      <c r="AD2">
        <f>IF(AND(O2="Yes",R2="Yes"),"Yes","No")</f>
        <v/>
      </c>
      <c r="AE2">
        <f>IF(AND(O2="Yes",T2="Yes"),"Yes","No")</f>
        <v/>
      </c>
      <c r="AF2">
        <f>IF(AND(O2="Yes",S2="Yes"),"Yes","No")</f>
        <v/>
      </c>
      <c r="AG2">
        <f>IF(AND(O2="Yes",U2="Yes"),"Yes","No")</f>
        <v/>
      </c>
    </row>
    <row r="3">
      <c r="A3" t="inlineStr">
        <is>
          <t>2600010</t>
        </is>
      </c>
      <c r="B3">
        <f>IFERROR(INDEX(tbl_Districts_Clean[District_Name],MATCH(A3,tbl_Districts_Clean[NCES_ID],0)),"")</f>
        <v/>
      </c>
      <c r="C3">
        <f>IFERROR(INDEX(tbl_Districts_Clean[County],MATCH(A3,tbl_Districts_Clean[NCES_ID],0)),"")</f>
        <v/>
      </c>
      <c r="D3" t="inlineStr">
        <is>
          <t>52.0201</t>
        </is>
      </c>
      <c r="E3" t="inlineStr">
        <is>
          <t>Business Administration</t>
        </is>
      </c>
      <c r="F3">
        <f>IFERROR(INDEX(tbl_CIP_SOC_Crosswalk[SOC_Code],MATCH(D3,tbl_CIP_SOC_Crosswalk[CIP_Code],0)),"")</f>
        <v/>
      </c>
      <c r="G3">
        <f>IFERROR(INDEX(tbl_CIP_SOC_Crosswalk[Pathway_Name],MATCH(D3,tbl_CIP_SOC_Crosswalk[CIP_Code],0)),"")</f>
        <v/>
      </c>
      <c r="H3">
        <f>IFERROR(SUMIFS(tbl_Labor_County[Median_Wage],tbl_Labor_County[County],C3,tbl_Labor_County[SOC_Code],F3),0)</f>
        <v/>
      </c>
      <c r="I3">
        <f>IFERROR(SUMIFS(tbl_Labor_County[Regional_Median_Wage],tbl_Labor_County[County],C3,tbl_Labor_County[SOC_Code],F3),0)</f>
        <v/>
      </c>
      <c r="J3">
        <f>IFERROR(SUMIFS(tbl_Labor_County[Annual_Openings_Current],tbl_Labor_County[County],C3,tbl_Labor_County[SOC_Code],F3),0)</f>
        <v/>
      </c>
      <c r="K3">
        <f>IFERROR(SUMIFS(tbl_Labor_County[Annual_Openings_10yr],tbl_Labor_County[County],C3,tbl_Labor_County[SOC_Code],F3),0)</f>
        <v/>
      </c>
      <c r="L3">
        <f>IF(I3=0,0,H3/I3)</f>
        <v/>
      </c>
      <c r="M3">
        <f>IF(L3&gt;=1.10,"Yes","No")</f>
        <v/>
      </c>
      <c r="N3">
        <f>IF(L3&gt;=1.20,"Yes","No")</f>
        <v/>
      </c>
      <c r="O3">
        <f>IF(L3&gt;=1.30,"Yes","No")</f>
        <v/>
      </c>
      <c r="P3">
        <f>IF(J3=0,999,COUNTIFS(tbl_Labor_County[County],C3,tbl_Labor_County[Annual_Openings_Current],"&gt;"&amp;J3)+1)</f>
        <v/>
      </c>
      <c r="Q3">
        <f>IF(K3=0,999,COUNTIFS(tbl_Labor_County[County],C3,tbl_Labor_County[Annual_Openings_10yr],"&gt;"&amp;K3)+1)</f>
        <v/>
      </c>
      <c r="R3">
        <f>IF(P3&lt;=15,"Yes","No")</f>
        <v/>
      </c>
      <c r="S3">
        <f>IF(P3&lt;=20,"Yes","No")</f>
        <v/>
      </c>
      <c r="T3">
        <f>IF(Q3&lt;=15,"Yes","No")</f>
        <v/>
      </c>
      <c r="U3">
        <f>IF(Q3&lt;=20,"Yes","No")</f>
        <v/>
      </c>
      <c r="V3">
        <f>IF(AND(M3="Yes",R3="Yes"),"Yes","No")</f>
        <v/>
      </c>
      <c r="W3">
        <f>IF(AND(M3="Yes",T3="Yes"),"Yes","No")</f>
        <v/>
      </c>
      <c r="X3">
        <f>IF(AND(M3="Yes",S3="Yes"),"Yes","No")</f>
        <v/>
      </c>
      <c r="Y3">
        <f>IF(AND(M3="Yes",U3="Yes"),"Yes","No")</f>
        <v/>
      </c>
      <c r="Z3">
        <f>IF(AND(N3="Yes",R3="Yes"),"Yes","No")</f>
        <v/>
      </c>
      <c r="AA3">
        <f>IF(AND(N3="Yes",T3="Yes"),"Yes","No")</f>
        <v/>
      </c>
      <c r="AB3">
        <f>IF(AND(N3="Yes",S3="Yes"),"Yes","No")</f>
        <v/>
      </c>
      <c r="AC3">
        <f>IF(AND(N3="Yes",U3="Yes"),"Yes","No")</f>
        <v/>
      </c>
      <c r="AD3">
        <f>IF(AND(O3="Yes",R3="Yes"),"Yes","No")</f>
        <v/>
      </c>
      <c r="AE3">
        <f>IF(AND(O3="Yes",T3="Yes"),"Yes","No")</f>
        <v/>
      </c>
      <c r="AF3">
        <f>IF(AND(O3="Yes",S3="Yes"),"Yes","No")</f>
        <v/>
      </c>
      <c r="AG3">
        <f>IF(AND(O3="Yes",U3="Yes"),"Yes","No")</f>
        <v/>
      </c>
    </row>
    <row r="4">
      <c r="A4" t="inlineStr">
        <is>
          <t>2600010</t>
        </is>
      </c>
      <c r="B4">
        <f>IFERROR(INDEX(tbl_Districts_Clean[District_Name],MATCH(A4,tbl_Districts_Clean[NCES_ID],0)),"")</f>
        <v/>
      </c>
      <c r="C4">
        <f>IFERROR(INDEX(tbl_Districts_Clean[County],MATCH(A4,tbl_Districts_Clean[NCES_ID],0)),"")</f>
        <v/>
      </c>
      <c r="D4" t="inlineStr">
        <is>
          <t>11.0201</t>
        </is>
      </c>
      <c r="E4" t="inlineStr">
        <is>
          <t>Computer Programming</t>
        </is>
      </c>
      <c r="F4">
        <f>IFERROR(INDEX(tbl_CIP_SOC_Crosswalk[SOC_Code],MATCH(D4,tbl_CIP_SOC_Crosswalk[CIP_Code],0)),"")</f>
        <v/>
      </c>
      <c r="G4">
        <f>IFERROR(INDEX(tbl_CIP_SOC_Crosswalk[Pathway_Name],MATCH(D4,tbl_CIP_SOC_Crosswalk[CIP_Code],0)),"")</f>
        <v/>
      </c>
      <c r="H4">
        <f>IFERROR(SUMIFS(tbl_Labor_County[Median_Wage],tbl_Labor_County[County],C4,tbl_Labor_County[SOC_Code],F4),0)</f>
        <v/>
      </c>
      <c r="I4">
        <f>IFERROR(SUMIFS(tbl_Labor_County[Regional_Median_Wage],tbl_Labor_County[County],C4,tbl_Labor_County[SOC_Code],F4),0)</f>
        <v/>
      </c>
      <c r="J4">
        <f>IFERROR(SUMIFS(tbl_Labor_County[Annual_Openings_Current],tbl_Labor_County[County],C4,tbl_Labor_County[SOC_Code],F4),0)</f>
        <v/>
      </c>
      <c r="K4">
        <f>IFERROR(SUMIFS(tbl_Labor_County[Annual_Openings_10yr],tbl_Labor_County[County],C4,tbl_Labor_County[SOC_Code],F4),0)</f>
        <v/>
      </c>
      <c r="L4">
        <f>IF(I4=0,0,H4/I4)</f>
        <v/>
      </c>
      <c r="M4">
        <f>IF(L4&gt;=1.10,"Yes","No")</f>
        <v/>
      </c>
      <c r="N4">
        <f>IF(L4&gt;=1.20,"Yes","No")</f>
        <v/>
      </c>
      <c r="O4">
        <f>IF(L4&gt;=1.30,"Yes","No")</f>
        <v/>
      </c>
      <c r="P4">
        <f>IF(J4=0,999,COUNTIFS(tbl_Labor_County[County],C4,tbl_Labor_County[Annual_Openings_Current],"&gt;"&amp;J4)+1)</f>
        <v/>
      </c>
      <c r="Q4">
        <f>IF(K4=0,999,COUNTIFS(tbl_Labor_County[County],C4,tbl_Labor_County[Annual_Openings_10yr],"&gt;"&amp;K4)+1)</f>
        <v/>
      </c>
      <c r="R4">
        <f>IF(P4&lt;=15,"Yes","No")</f>
        <v/>
      </c>
      <c r="S4">
        <f>IF(P4&lt;=20,"Yes","No")</f>
        <v/>
      </c>
      <c r="T4">
        <f>IF(Q4&lt;=15,"Yes","No")</f>
        <v/>
      </c>
      <c r="U4">
        <f>IF(Q4&lt;=20,"Yes","No")</f>
        <v/>
      </c>
      <c r="V4">
        <f>IF(AND(M4="Yes",R4="Yes"),"Yes","No")</f>
        <v/>
      </c>
      <c r="W4">
        <f>IF(AND(M4="Yes",T4="Yes"),"Yes","No")</f>
        <v/>
      </c>
      <c r="X4">
        <f>IF(AND(M4="Yes",S4="Yes"),"Yes","No")</f>
        <v/>
      </c>
      <c r="Y4">
        <f>IF(AND(M4="Yes",U4="Yes"),"Yes","No")</f>
        <v/>
      </c>
      <c r="Z4">
        <f>IF(AND(N4="Yes",R4="Yes"),"Yes","No")</f>
        <v/>
      </c>
      <c r="AA4">
        <f>IF(AND(N4="Yes",T4="Yes"),"Yes","No")</f>
        <v/>
      </c>
      <c r="AB4">
        <f>IF(AND(N4="Yes",S4="Yes"),"Yes","No")</f>
        <v/>
      </c>
      <c r="AC4">
        <f>IF(AND(N4="Yes",U4="Yes"),"Yes","No")</f>
        <v/>
      </c>
      <c r="AD4">
        <f>IF(AND(O4="Yes",R4="Yes"),"Yes","No")</f>
        <v/>
      </c>
      <c r="AE4">
        <f>IF(AND(O4="Yes",T4="Yes"),"Yes","No")</f>
        <v/>
      </c>
      <c r="AF4">
        <f>IF(AND(O4="Yes",S4="Yes"),"Yes","No")</f>
        <v/>
      </c>
      <c r="AG4">
        <f>IF(AND(O4="Yes",U4="Yes"),"Yes","No")</f>
        <v/>
      </c>
    </row>
    <row r="5">
      <c r="A5" t="inlineStr">
        <is>
          <t>2600020</t>
        </is>
      </c>
      <c r="B5">
        <f>IFERROR(INDEX(tbl_Districts_Clean[District_Name],MATCH(A5,tbl_Districts_Clean[NCES_ID],0)),"")</f>
        <v/>
      </c>
      <c r="C5">
        <f>IFERROR(INDEX(tbl_Districts_Clean[County],MATCH(A5,tbl_Districts_Clean[NCES_ID],0)),"")</f>
        <v/>
      </c>
      <c r="D5" t="inlineStr">
        <is>
          <t>11.0201</t>
        </is>
      </c>
      <c r="E5" t="inlineStr">
        <is>
          <t>Computer Programming</t>
        </is>
      </c>
      <c r="F5">
        <f>IFERROR(INDEX(tbl_CIP_SOC_Crosswalk[SOC_Code],MATCH(D5,tbl_CIP_SOC_Crosswalk[CIP_Code],0)),"")</f>
        <v/>
      </c>
      <c r="G5">
        <f>IFERROR(INDEX(tbl_CIP_SOC_Crosswalk[Pathway_Name],MATCH(D5,tbl_CIP_SOC_Crosswalk[CIP_Code],0)),"")</f>
        <v/>
      </c>
      <c r="H5">
        <f>IFERROR(SUMIFS(tbl_Labor_County[Median_Wage],tbl_Labor_County[County],C5,tbl_Labor_County[SOC_Code],F5),0)</f>
        <v/>
      </c>
      <c r="I5">
        <f>IFERROR(SUMIFS(tbl_Labor_County[Regional_Median_Wage],tbl_Labor_County[County],C5,tbl_Labor_County[SOC_Code],F5),0)</f>
        <v/>
      </c>
      <c r="J5">
        <f>IFERROR(SUMIFS(tbl_Labor_County[Annual_Openings_Current],tbl_Labor_County[County],C5,tbl_Labor_County[SOC_Code],F5),0)</f>
        <v/>
      </c>
      <c r="K5">
        <f>IFERROR(SUMIFS(tbl_Labor_County[Annual_Openings_10yr],tbl_Labor_County[County],C5,tbl_Labor_County[SOC_Code],F5),0)</f>
        <v/>
      </c>
      <c r="L5">
        <f>IF(I5=0,0,H5/I5)</f>
        <v/>
      </c>
      <c r="M5">
        <f>IF(L5&gt;=1.10,"Yes","No")</f>
        <v/>
      </c>
      <c r="N5">
        <f>IF(L5&gt;=1.20,"Yes","No")</f>
        <v/>
      </c>
      <c r="O5">
        <f>IF(L5&gt;=1.30,"Yes","No")</f>
        <v/>
      </c>
      <c r="P5">
        <f>IF(J5=0,999,COUNTIFS(tbl_Labor_County[County],C5,tbl_Labor_County[Annual_Openings_Current],"&gt;"&amp;J5)+1)</f>
        <v/>
      </c>
      <c r="Q5">
        <f>IF(K5=0,999,COUNTIFS(tbl_Labor_County[County],C5,tbl_Labor_County[Annual_Openings_10yr],"&gt;"&amp;K5)+1)</f>
        <v/>
      </c>
      <c r="R5">
        <f>IF(P5&lt;=15,"Yes","No")</f>
        <v/>
      </c>
      <c r="S5">
        <f>IF(P5&lt;=20,"Yes","No")</f>
        <v/>
      </c>
      <c r="T5">
        <f>IF(Q5&lt;=15,"Yes","No")</f>
        <v/>
      </c>
      <c r="U5">
        <f>IF(Q5&lt;=20,"Yes","No")</f>
        <v/>
      </c>
      <c r="V5">
        <f>IF(AND(M5="Yes",R5="Yes"),"Yes","No")</f>
        <v/>
      </c>
      <c r="W5">
        <f>IF(AND(M5="Yes",T5="Yes"),"Yes","No")</f>
        <v/>
      </c>
      <c r="X5">
        <f>IF(AND(M5="Yes",S5="Yes"),"Yes","No")</f>
        <v/>
      </c>
      <c r="Y5">
        <f>IF(AND(M5="Yes",U5="Yes"),"Yes","No")</f>
        <v/>
      </c>
      <c r="Z5">
        <f>IF(AND(N5="Yes",R5="Yes"),"Yes","No")</f>
        <v/>
      </c>
      <c r="AA5">
        <f>IF(AND(N5="Yes",T5="Yes"),"Yes","No")</f>
        <v/>
      </c>
      <c r="AB5">
        <f>IF(AND(N5="Yes",S5="Yes"),"Yes","No")</f>
        <v/>
      </c>
      <c r="AC5">
        <f>IF(AND(N5="Yes",U5="Yes"),"Yes","No")</f>
        <v/>
      </c>
      <c r="AD5">
        <f>IF(AND(O5="Yes",R5="Yes"),"Yes","No")</f>
        <v/>
      </c>
      <c r="AE5">
        <f>IF(AND(O5="Yes",T5="Yes"),"Yes","No")</f>
        <v/>
      </c>
      <c r="AF5">
        <f>IF(AND(O5="Yes",S5="Yes"),"Yes","No")</f>
        <v/>
      </c>
      <c r="AG5">
        <f>IF(AND(O5="Yes",U5="Yes"),"Yes","No")</f>
        <v/>
      </c>
    </row>
    <row r="6">
      <c r="A6" t="inlineStr">
        <is>
          <t>2600020</t>
        </is>
      </c>
      <c r="B6">
        <f>IFERROR(INDEX(tbl_Districts_Clean[District_Name],MATCH(A6,tbl_Districts_Clean[NCES_ID],0)),"")</f>
        <v/>
      </c>
      <c r="C6">
        <f>IFERROR(INDEX(tbl_Districts_Clean[County],MATCH(A6,tbl_Districts_Clean[NCES_ID],0)),"")</f>
        <v/>
      </c>
      <c r="D6" t="inlineStr">
        <is>
          <t>47.0201</t>
        </is>
      </c>
      <c r="E6" t="inlineStr">
        <is>
          <t>HVAC (ISD Shared)</t>
        </is>
      </c>
      <c r="F6">
        <f>IFERROR(INDEX(tbl_CIP_SOC_Crosswalk[SOC_Code],MATCH(D6,tbl_CIP_SOC_Crosswalk[CIP_Code],0)),"")</f>
        <v/>
      </c>
      <c r="G6">
        <f>IFERROR(INDEX(tbl_CIP_SOC_Crosswalk[Pathway_Name],MATCH(D6,tbl_CIP_SOC_Crosswalk[CIP_Code],0)),"")</f>
        <v/>
      </c>
      <c r="H6">
        <f>IFERROR(SUMIFS(tbl_Labor_County[Median_Wage],tbl_Labor_County[County],C6,tbl_Labor_County[SOC_Code],F6),0)</f>
        <v/>
      </c>
      <c r="I6">
        <f>IFERROR(SUMIFS(tbl_Labor_County[Regional_Median_Wage],tbl_Labor_County[County],C6,tbl_Labor_County[SOC_Code],F6),0)</f>
        <v/>
      </c>
      <c r="J6">
        <f>IFERROR(SUMIFS(tbl_Labor_County[Annual_Openings_Current],tbl_Labor_County[County],C6,tbl_Labor_County[SOC_Code],F6),0)</f>
        <v/>
      </c>
      <c r="K6">
        <f>IFERROR(SUMIFS(tbl_Labor_County[Annual_Openings_10yr],tbl_Labor_County[County],C6,tbl_Labor_County[SOC_Code],F6),0)</f>
        <v/>
      </c>
      <c r="L6">
        <f>IF(I6=0,0,H6/I6)</f>
        <v/>
      </c>
      <c r="M6">
        <f>IF(L6&gt;=1.10,"Yes","No")</f>
        <v/>
      </c>
      <c r="N6">
        <f>IF(L6&gt;=1.20,"Yes","No")</f>
        <v/>
      </c>
      <c r="O6">
        <f>IF(L6&gt;=1.30,"Yes","No")</f>
        <v/>
      </c>
      <c r="P6">
        <f>IF(J6=0,999,COUNTIFS(tbl_Labor_County[County],C6,tbl_Labor_County[Annual_Openings_Current],"&gt;"&amp;J6)+1)</f>
        <v/>
      </c>
      <c r="Q6">
        <f>IF(K6=0,999,COUNTIFS(tbl_Labor_County[County],C6,tbl_Labor_County[Annual_Openings_10yr],"&gt;"&amp;K6)+1)</f>
        <v/>
      </c>
      <c r="R6">
        <f>IF(P6&lt;=15,"Yes","No")</f>
        <v/>
      </c>
      <c r="S6">
        <f>IF(P6&lt;=20,"Yes","No")</f>
        <v/>
      </c>
      <c r="T6">
        <f>IF(Q6&lt;=15,"Yes","No")</f>
        <v/>
      </c>
      <c r="U6">
        <f>IF(Q6&lt;=20,"Yes","No")</f>
        <v/>
      </c>
      <c r="V6">
        <f>IF(AND(M6="Yes",R6="Yes"),"Yes","No")</f>
        <v/>
      </c>
      <c r="W6">
        <f>IF(AND(M6="Yes",T6="Yes"),"Yes","No")</f>
        <v/>
      </c>
      <c r="X6">
        <f>IF(AND(M6="Yes",S6="Yes"),"Yes","No")</f>
        <v/>
      </c>
      <c r="Y6">
        <f>IF(AND(M6="Yes",U6="Yes"),"Yes","No")</f>
        <v/>
      </c>
      <c r="Z6">
        <f>IF(AND(N6="Yes",R6="Yes"),"Yes","No")</f>
        <v/>
      </c>
      <c r="AA6">
        <f>IF(AND(N6="Yes",T6="Yes"),"Yes","No")</f>
        <v/>
      </c>
      <c r="AB6">
        <f>IF(AND(N6="Yes",S6="Yes"),"Yes","No")</f>
        <v/>
      </c>
      <c r="AC6">
        <f>IF(AND(N6="Yes",U6="Yes"),"Yes","No")</f>
        <v/>
      </c>
      <c r="AD6">
        <f>IF(AND(O6="Yes",R6="Yes"),"Yes","No")</f>
        <v/>
      </c>
      <c r="AE6">
        <f>IF(AND(O6="Yes",T6="Yes"),"Yes","No")</f>
        <v/>
      </c>
      <c r="AF6">
        <f>IF(AND(O6="Yes",S6="Yes"),"Yes","No")</f>
        <v/>
      </c>
      <c r="AG6">
        <f>IF(AND(O6="Yes",U6="Yes"),"Yes","No")</f>
        <v/>
      </c>
    </row>
    <row r="7">
      <c r="A7" t="inlineStr">
        <is>
          <t>2600020</t>
        </is>
      </c>
      <c r="B7">
        <f>IFERROR(INDEX(tbl_Districts_Clean[District_Name],MATCH(A7,tbl_Districts_Clean[NCES_ID],0)),"")</f>
        <v/>
      </c>
      <c r="C7">
        <f>IFERROR(INDEX(tbl_Districts_Clean[County],MATCH(A7,tbl_Districts_Clean[NCES_ID],0)),"")</f>
        <v/>
      </c>
      <c r="D7" t="inlineStr">
        <is>
          <t>51.0801</t>
        </is>
      </c>
      <c r="E7" t="inlineStr">
        <is>
          <t>Medical Assistant</t>
        </is>
      </c>
      <c r="F7">
        <f>IFERROR(INDEX(tbl_CIP_SOC_Crosswalk[SOC_Code],MATCH(D7,tbl_CIP_SOC_Crosswalk[CIP_Code],0)),"")</f>
        <v/>
      </c>
      <c r="G7">
        <f>IFERROR(INDEX(tbl_CIP_SOC_Crosswalk[Pathway_Name],MATCH(D7,tbl_CIP_SOC_Crosswalk[CIP_Code],0)),"")</f>
        <v/>
      </c>
      <c r="H7">
        <f>IFERROR(SUMIFS(tbl_Labor_County[Median_Wage],tbl_Labor_County[County],C7,tbl_Labor_County[SOC_Code],F7),0)</f>
        <v/>
      </c>
      <c r="I7">
        <f>IFERROR(SUMIFS(tbl_Labor_County[Regional_Median_Wage],tbl_Labor_County[County],C7,tbl_Labor_County[SOC_Code],F7),0)</f>
        <v/>
      </c>
      <c r="J7">
        <f>IFERROR(SUMIFS(tbl_Labor_County[Annual_Openings_Current],tbl_Labor_County[County],C7,tbl_Labor_County[SOC_Code],F7),0)</f>
        <v/>
      </c>
      <c r="K7">
        <f>IFERROR(SUMIFS(tbl_Labor_County[Annual_Openings_10yr],tbl_Labor_County[County],C7,tbl_Labor_County[SOC_Code],F7),0)</f>
        <v/>
      </c>
      <c r="L7">
        <f>IF(I7=0,0,H7/I7)</f>
        <v/>
      </c>
      <c r="M7">
        <f>IF(L7&gt;=1.10,"Yes","No")</f>
        <v/>
      </c>
      <c r="N7">
        <f>IF(L7&gt;=1.20,"Yes","No")</f>
        <v/>
      </c>
      <c r="O7">
        <f>IF(L7&gt;=1.30,"Yes","No")</f>
        <v/>
      </c>
      <c r="P7">
        <f>IF(J7=0,999,COUNTIFS(tbl_Labor_County[County],C7,tbl_Labor_County[Annual_Openings_Current],"&gt;"&amp;J7)+1)</f>
        <v/>
      </c>
      <c r="Q7">
        <f>IF(K7=0,999,COUNTIFS(tbl_Labor_County[County],C7,tbl_Labor_County[Annual_Openings_10yr],"&gt;"&amp;K7)+1)</f>
        <v/>
      </c>
      <c r="R7">
        <f>IF(P7&lt;=15,"Yes","No")</f>
        <v/>
      </c>
      <c r="S7">
        <f>IF(P7&lt;=20,"Yes","No")</f>
        <v/>
      </c>
      <c r="T7">
        <f>IF(Q7&lt;=15,"Yes","No")</f>
        <v/>
      </c>
      <c r="U7">
        <f>IF(Q7&lt;=20,"Yes","No")</f>
        <v/>
      </c>
      <c r="V7">
        <f>IF(AND(M7="Yes",R7="Yes"),"Yes","No")</f>
        <v/>
      </c>
      <c r="W7">
        <f>IF(AND(M7="Yes",T7="Yes"),"Yes","No")</f>
        <v/>
      </c>
      <c r="X7">
        <f>IF(AND(M7="Yes",S7="Yes"),"Yes","No")</f>
        <v/>
      </c>
      <c r="Y7">
        <f>IF(AND(M7="Yes",U7="Yes"),"Yes","No")</f>
        <v/>
      </c>
      <c r="Z7">
        <f>IF(AND(N7="Yes",R7="Yes"),"Yes","No")</f>
        <v/>
      </c>
      <c r="AA7">
        <f>IF(AND(N7="Yes",T7="Yes"),"Yes","No")</f>
        <v/>
      </c>
      <c r="AB7">
        <f>IF(AND(N7="Yes",S7="Yes"),"Yes","No")</f>
        <v/>
      </c>
      <c r="AC7">
        <f>IF(AND(N7="Yes",U7="Yes"),"Yes","No")</f>
        <v/>
      </c>
      <c r="AD7">
        <f>IF(AND(O7="Yes",R7="Yes"),"Yes","No")</f>
        <v/>
      </c>
      <c r="AE7">
        <f>IF(AND(O7="Yes",T7="Yes"),"Yes","No")</f>
        <v/>
      </c>
      <c r="AF7">
        <f>IF(AND(O7="Yes",S7="Yes"),"Yes","No")</f>
        <v/>
      </c>
      <c r="AG7">
        <f>IF(AND(O7="Yes",U7="Yes"),"Yes","No")</f>
        <v/>
      </c>
    </row>
    <row r="8">
      <c r="A8" t="inlineStr">
        <is>
          <t>2601234</t>
        </is>
      </c>
      <c r="B8">
        <f>IFERROR(INDEX(tbl_Districts_Clean[District_Name],MATCH(A8,tbl_Districts_Clean[NCES_ID],0)),"")</f>
        <v/>
      </c>
      <c r="C8">
        <f>IFERROR(INDEX(tbl_Districts_Clean[County],MATCH(A8,tbl_Districts_Clean[NCES_ID],0)),"")</f>
        <v/>
      </c>
      <c r="D8" t="inlineStr">
        <is>
          <t>47.0201</t>
        </is>
      </c>
      <c r="E8" t="inlineStr">
        <is>
          <t>HVAC (ISD Shared)</t>
        </is>
      </c>
      <c r="F8">
        <f>IFERROR(INDEX(tbl_CIP_SOC_Crosswalk[SOC_Code],MATCH(D8,tbl_CIP_SOC_Crosswalk[CIP_Code],0)),"")</f>
        <v/>
      </c>
      <c r="G8">
        <f>IFERROR(INDEX(tbl_CIP_SOC_Crosswalk[Pathway_Name],MATCH(D8,tbl_CIP_SOC_Crosswalk[CIP_Code],0)),"")</f>
        <v/>
      </c>
      <c r="H8">
        <f>IFERROR(SUMIFS(tbl_Labor_County[Median_Wage],tbl_Labor_County[County],C8,tbl_Labor_County[SOC_Code],F8),0)</f>
        <v/>
      </c>
      <c r="I8">
        <f>IFERROR(SUMIFS(tbl_Labor_County[Regional_Median_Wage],tbl_Labor_County[County],C8,tbl_Labor_County[SOC_Code],F8),0)</f>
        <v/>
      </c>
      <c r="J8">
        <f>IFERROR(SUMIFS(tbl_Labor_County[Annual_Openings_Current],tbl_Labor_County[County],C8,tbl_Labor_County[SOC_Code],F8),0)</f>
        <v/>
      </c>
      <c r="K8">
        <f>IFERROR(SUMIFS(tbl_Labor_County[Annual_Openings_10yr],tbl_Labor_County[County],C8,tbl_Labor_County[SOC_Code],F8),0)</f>
        <v/>
      </c>
      <c r="L8">
        <f>IF(I8=0,0,H8/I8)</f>
        <v/>
      </c>
      <c r="M8">
        <f>IF(L8&gt;=1.10,"Yes","No")</f>
        <v/>
      </c>
      <c r="N8">
        <f>IF(L8&gt;=1.20,"Yes","No")</f>
        <v/>
      </c>
      <c r="O8">
        <f>IF(L8&gt;=1.30,"Yes","No")</f>
        <v/>
      </c>
      <c r="P8">
        <f>IF(J8=0,999,COUNTIFS(tbl_Labor_County[County],C8,tbl_Labor_County[Annual_Openings_Current],"&gt;"&amp;J8)+1)</f>
        <v/>
      </c>
      <c r="Q8">
        <f>IF(K8=0,999,COUNTIFS(tbl_Labor_County[County],C8,tbl_Labor_County[Annual_Openings_10yr],"&gt;"&amp;K8)+1)</f>
        <v/>
      </c>
      <c r="R8">
        <f>IF(P8&lt;=15,"Yes","No")</f>
        <v/>
      </c>
      <c r="S8">
        <f>IF(P8&lt;=20,"Yes","No")</f>
        <v/>
      </c>
      <c r="T8">
        <f>IF(Q8&lt;=15,"Yes","No")</f>
        <v/>
      </c>
      <c r="U8">
        <f>IF(Q8&lt;=20,"Yes","No")</f>
        <v/>
      </c>
      <c r="V8">
        <f>IF(AND(M8="Yes",R8="Yes"),"Yes","No")</f>
        <v/>
      </c>
      <c r="W8">
        <f>IF(AND(M8="Yes",T8="Yes"),"Yes","No")</f>
        <v/>
      </c>
      <c r="X8">
        <f>IF(AND(M8="Yes",S8="Yes"),"Yes","No")</f>
        <v/>
      </c>
      <c r="Y8">
        <f>IF(AND(M8="Yes",U8="Yes"),"Yes","No")</f>
        <v/>
      </c>
      <c r="Z8">
        <f>IF(AND(N8="Yes",R8="Yes"),"Yes","No")</f>
        <v/>
      </c>
      <c r="AA8">
        <f>IF(AND(N8="Yes",T8="Yes"),"Yes","No")</f>
        <v/>
      </c>
      <c r="AB8">
        <f>IF(AND(N8="Yes",S8="Yes"),"Yes","No")</f>
        <v/>
      </c>
      <c r="AC8">
        <f>IF(AND(N8="Yes",U8="Yes"),"Yes","No")</f>
        <v/>
      </c>
      <c r="AD8">
        <f>IF(AND(O8="Yes",R8="Yes"),"Yes","No")</f>
        <v/>
      </c>
      <c r="AE8">
        <f>IF(AND(O8="Yes",T8="Yes"),"Yes","No")</f>
        <v/>
      </c>
      <c r="AF8">
        <f>IF(AND(O8="Yes",S8="Yes"),"Yes","No")</f>
        <v/>
      </c>
      <c r="AG8">
        <f>IF(AND(O8="Yes",U8="Yes"),"Yes","No")</f>
        <v/>
      </c>
    </row>
    <row r="9">
      <c r="A9" t="inlineStr">
        <is>
          <t>2601234</t>
        </is>
      </c>
      <c r="B9">
        <f>IFERROR(INDEX(tbl_Districts_Clean[District_Name],MATCH(A9,tbl_Districts_Clean[NCES_ID],0)),"")</f>
        <v/>
      </c>
      <c r="C9">
        <f>IFERROR(INDEX(tbl_Districts_Clean[County],MATCH(A9,tbl_Districts_Clean[NCES_ID],0)),"")</f>
        <v/>
      </c>
      <c r="D9" t="inlineStr">
        <is>
          <t>51.0911</t>
        </is>
      </c>
      <c r="E9" t="inlineStr">
        <is>
          <t>Massage Therapy</t>
        </is>
      </c>
      <c r="F9">
        <f>IFERROR(INDEX(tbl_CIP_SOC_Crosswalk[SOC_Code],MATCH(D9,tbl_CIP_SOC_Crosswalk[CIP_Code],0)),"")</f>
        <v/>
      </c>
      <c r="G9">
        <f>IFERROR(INDEX(tbl_CIP_SOC_Crosswalk[Pathway_Name],MATCH(D9,tbl_CIP_SOC_Crosswalk[CIP_Code],0)),"")</f>
        <v/>
      </c>
      <c r="H9">
        <f>IFERROR(SUMIFS(tbl_Labor_County[Median_Wage],tbl_Labor_County[County],C9,tbl_Labor_County[SOC_Code],F9),0)</f>
        <v/>
      </c>
      <c r="I9">
        <f>IFERROR(SUMIFS(tbl_Labor_County[Regional_Median_Wage],tbl_Labor_County[County],C9,tbl_Labor_County[SOC_Code],F9),0)</f>
        <v/>
      </c>
      <c r="J9">
        <f>IFERROR(SUMIFS(tbl_Labor_County[Annual_Openings_Current],tbl_Labor_County[County],C9,tbl_Labor_County[SOC_Code],F9),0)</f>
        <v/>
      </c>
      <c r="K9">
        <f>IFERROR(SUMIFS(tbl_Labor_County[Annual_Openings_10yr],tbl_Labor_County[County],C9,tbl_Labor_County[SOC_Code],F9),0)</f>
        <v/>
      </c>
      <c r="L9">
        <f>IF(I9=0,0,H9/I9)</f>
        <v/>
      </c>
      <c r="M9">
        <f>IF(L9&gt;=1.10,"Yes","No")</f>
        <v/>
      </c>
      <c r="N9">
        <f>IF(L9&gt;=1.20,"Yes","No")</f>
        <v/>
      </c>
      <c r="O9">
        <f>IF(L9&gt;=1.30,"Yes","No")</f>
        <v/>
      </c>
      <c r="P9">
        <f>IF(J9=0,999,COUNTIFS(tbl_Labor_County[County],C9,tbl_Labor_County[Annual_Openings_Current],"&gt;"&amp;J9)+1)</f>
        <v/>
      </c>
      <c r="Q9">
        <f>IF(K9=0,999,COUNTIFS(tbl_Labor_County[County],C9,tbl_Labor_County[Annual_Openings_10yr],"&gt;"&amp;K9)+1)</f>
        <v/>
      </c>
      <c r="R9">
        <f>IF(P9&lt;=15,"Yes","No")</f>
        <v/>
      </c>
      <c r="S9">
        <f>IF(P9&lt;=20,"Yes","No")</f>
        <v/>
      </c>
      <c r="T9">
        <f>IF(Q9&lt;=15,"Yes","No")</f>
        <v/>
      </c>
      <c r="U9">
        <f>IF(Q9&lt;=20,"Yes","No")</f>
        <v/>
      </c>
      <c r="V9">
        <f>IF(AND(M9="Yes",R9="Yes"),"Yes","No")</f>
        <v/>
      </c>
      <c r="W9">
        <f>IF(AND(M9="Yes",T9="Yes"),"Yes","No")</f>
        <v/>
      </c>
      <c r="X9">
        <f>IF(AND(M9="Yes",S9="Yes"),"Yes","No")</f>
        <v/>
      </c>
      <c r="Y9">
        <f>IF(AND(M9="Yes",U9="Yes"),"Yes","No")</f>
        <v/>
      </c>
      <c r="Z9">
        <f>IF(AND(N9="Yes",R9="Yes"),"Yes","No")</f>
        <v/>
      </c>
      <c r="AA9">
        <f>IF(AND(N9="Yes",T9="Yes"),"Yes","No")</f>
        <v/>
      </c>
      <c r="AB9">
        <f>IF(AND(N9="Yes",S9="Yes"),"Yes","No")</f>
        <v/>
      </c>
      <c r="AC9">
        <f>IF(AND(N9="Yes",U9="Yes"),"Yes","No")</f>
        <v/>
      </c>
      <c r="AD9">
        <f>IF(AND(O9="Yes",R9="Yes"),"Yes","No")</f>
        <v/>
      </c>
      <c r="AE9">
        <f>IF(AND(O9="Yes",T9="Yes"),"Yes","No")</f>
        <v/>
      </c>
      <c r="AF9">
        <f>IF(AND(O9="Yes",S9="Yes"),"Yes","No")</f>
        <v/>
      </c>
      <c r="AG9">
        <f>IF(AND(O9="Yes",U9="Yes"),"Yes","No")</f>
        <v/>
      </c>
    </row>
    <row r="10">
      <c r="A10" t="inlineStr">
        <is>
          <t>2601234</t>
        </is>
      </c>
      <c r="B10">
        <f>IFERROR(INDEX(tbl_Districts_Clean[District_Name],MATCH(A10,tbl_Districts_Clean[NCES_ID],0)),"")</f>
        <v/>
      </c>
      <c r="C10">
        <f>IFERROR(INDEX(tbl_Districts_Clean[County],MATCH(A10,tbl_Districts_Clean[NCES_ID],0)),"")</f>
        <v/>
      </c>
      <c r="D10" t="inlineStr">
        <is>
          <t>52.0201</t>
        </is>
      </c>
      <c r="E10" t="inlineStr">
        <is>
          <t>Business Management</t>
        </is>
      </c>
      <c r="F10">
        <f>IFERROR(INDEX(tbl_CIP_SOC_Crosswalk[SOC_Code],MATCH(D10,tbl_CIP_SOC_Crosswalk[CIP_Code],0)),"")</f>
        <v/>
      </c>
      <c r="G10">
        <f>IFERROR(INDEX(tbl_CIP_SOC_Crosswalk[Pathway_Name],MATCH(D10,tbl_CIP_SOC_Crosswalk[CIP_Code],0)),"")</f>
        <v/>
      </c>
      <c r="H10">
        <f>IFERROR(SUMIFS(tbl_Labor_County[Median_Wage],tbl_Labor_County[County],C10,tbl_Labor_County[SOC_Code],F10),0)</f>
        <v/>
      </c>
      <c r="I10">
        <f>IFERROR(SUMIFS(tbl_Labor_County[Regional_Median_Wage],tbl_Labor_County[County],C10,tbl_Labor_County[SOC_Code],F10),0)</f>
        <v/>
      </c>
      <c r="J10">
        <f>IFERROR(SUMIFS(tbl_Labor_County[Annual_Openings_Current],tbl_Labor_County[County],C10,tbl_Labor_County[SOC_Code],F10),0)</f>
        <v/>
      </c>
      <c r="K10">
        <f>IFERROR(SUMIFS(tbl_Labor_County[Annual_Openings_10yr],tbl_Labor_County[County],C10,tbl_Labor_County[SOC_Code],F10),0)</f>
        <v/>
      </c>
      <c r="L10">
        <f>IF(I10=0,0,H10/I10)</f>
        <v/>
      </c>
      <c r="M10">
        <f>IF(L10&gt;=1.10,"Yes","No")</f>
        <v/>
      </c>
      <c r="N10">
        <f>IF(L10&gt;=1.20,"Yes","No")</f>
        <v/>
      </c>
      <c r="O10">
        <f>IF(L10&gt;=1.30,"Yes","No")</f>
        <v/>
      </c>
      <c r="P10">
        <f>IF(J10=0,999,COUNTIFS(tbl_Labor_County[County],C10,tbl_Labor_County[Annual_Openings_Current],"&gt;"&amp;J10)+1)</f>
        <v/>
      </c>
      <c r="Q10">
        <f>IF(K10=0,999,COUNTIFS(tbl_Labor_County[County],C10,tbl_Labor_County[Annual_Openings_10yr],"&gt;"&amp;K10)+1)</f>
        <v/>
      </c>
      <c r="R10">
        <f>IF(P10&lt;=15,"Yes","No")</f>
        <v/>
      </c>
      <c r="S10">
        <f>IF(P10&lt;=20,"Yes","No")</f>
        <v/>
      </c>
      <c r="T10">
        <f>IF(Q10&lt;=15,"Yes","No")</f>
        <v/>
      </c>
      <c r="U10">
        <f>IF(Q10&lt;=20,"Yes","No")</f>
        <v/>
      </c>
      <c r="V10">
        <f>IF(AND(M10="Yes",R10="Yes"),"Yes","No")</f>
        <v/>
      </c>
      <c r="W10">
        <f>IF(AND(M10="Yes",T10="Yes"),"Yes","No")</f>
        <v/>
      </c>
      <c r="X10">
        <f>IF(AND(M10="Yes",S10="Yes"),"Yes","No")</f>
        <v/>
      </c>
      <c r="Y10">
        <f>IF(AND(M10="Yes",U10="Yes"),"Yes","No")</f>
        <v/>
      </c>
      <c r="Z10">
        <f>IF(AND(N10="Yes",R10="Yes"),"Yes","No")</f>
        <v/>
      </c>
      <c r="AA10">
        <f>IF(AND(N10="Yes",T10="Yes"),"Yes","No")</f>
        <v/>
      </c>
      <c r="AB10">
        <f>IF(AND(N10="Yes",S10="Yes"),"Yes","No")</f>
        <v/>
      </c>
      <c r="AC10">
        <f>IF(AND(N10="Yes",U10="Yes"),"Yes","No")</f>
        <v/>
      </c>
      <c r="AD10">
        <f>IF(AND(O10="Yes",R10="Yes"),"Yes","No")</f>
        <v/>
      </c>
      <c r="AE10">
        <f>IF(AND(O10="Yes",T10="Yes"),"Yes","No")</f>
        <v/>
      </c>
      <c r="AF10">
        <f>IF(AND(O10="Yes",S10="Yes"),"Yes","No")</f>
        <v/>
      </c>
      <c r="AG10">
        <f>IF(AND(O10="Yes",U10="Yes"),"Yes","No")</f>
        <v/>
      </c>
    </row>
    <row r="11">
      <c r="A11" t="inlineStr">
        <is>
          <t>2605678</t>
        </is>
      </c>
      <c r="B11">
        <f>IFERROR(INDEX(tbl_Districts_Clean[District_Name],MATCH(A11,tbl_Districts_Clean[NCES_ID],0)),"")</f>
        <v/>
      </c>
      <c r="C11">
        <f>IFERROR(INDEX(tbl_Districts_Clean[County],MATCH(A11,tbl_Districts_Clean[NCES_ID],0)),"")</f>
        <v/>
      </c>
      <c r="D11" t="inlineStr">
        <is>
          <t>01.0101</t>
        </is>
      </c>
      <c r="E11" t="inlineStr">
        <is>
          <t>Agricultural Business</t>
        </is>
      </c>
      <c r="F11">
        <f>IFERROR(INDEX(tbl_CIP_SOC_Crosswalk[SOC_Code],MATCH(D11,tbl_CIP_SOC_Crosswalk[CIP_Code],0)),"")</f>
        <v/>
      </c>
      <c r="G11">
        <f>IFERROR(INDEX(tbl_CIP_SOC_Crosswalk[Pathway_Name],MATCH(D11,tbl_CIP_SOC_Crosswalk[CIP_Code],0)),"")</f>
        <v/>
      </c>
      <c r="H11">
        <f>IFERROR(SUMIFS(tbl_Labor_County[Median_Wage],tbl_Labor_County[County],C11,tbl_Labor_County[SOC_Code],F11),0)</f>
        <v/>
      </c>
      <c r="I11">
        <f>IFERROR(SUMIFS(tbl_Labor_County[Regional_Median_Wage],tbl_Labor_County[County],C11,tbl_Labor_County[SOC_Code],F11),0)</f>
        <v/>
      </c>
      <c r="J11">
        <f>IFERROR(SUMIFS(tbl_Labor_County[Annual_Openings_Current],tbl_Labor_County[County],C11,tbl_Labor_County[SOC_Code],F11),0)</f>
        <v/>
      </c>
      <c r="K11">
        <f>IFERROR(SUMIFS(tbl_Labor_County[Annual_Openings_10yr],tbl_Labor_County[County],C11,tbl_Labor_County[SOC_Code],F11),0)</f>
        <v/>
      </c>
      <c r="L11">
        <f>IF(I11=0,0,H11/I11)</f>
        <v/>
      </c>
      <c r="M11">
        <f>IF(L11&gt;=1.10,"Yes","No")</f>
        <v/>
      </c>
      <c r="N11">
        <f>IF(L11&gt;=1.20,"Yes","No")</f>
        <v/>
      </c>
      <c r="O11">
        <f>IF(L11&gt;=1.30,"Yes","No")</f>
        <v/>
      </c>
      <c r="P11">
        <f>IF(J11=0,999,COUNTIFS(tbl_Labor_County[County],C11,tbl_Labor_County[Annual_Openings_Current],"&gt;"&amp;J11)+1)</f>
        <v/>
      </c>
      <c r="Q11">
        <f>IF(K11=0,999,COUNTIFS(tbl_Labor_County[County],C11,tbl_Labor_County[Annual_Openings_10yr],"&gt;"&amp;K11)+1)</f>
        <v/>
      </c>
      <c r="R11">
        <f>IF(P11&lt;=15,"Yes","No")</f>
        <v/>
      </c>
      <c r="S11">
        <f>IF(P11&lt;=20,"Yes","No")</f>
        <v/>
      </c>
      <c r="T11">
        <f>IF(Q11&lt;=15,"Yes","No")</f>
        <v/>
      </c>
      <c r="U11">
        <f>IF(Q11&lt;=20,"Yes","No")</f>
        <v/>
      </c>
      <c r="V11">
        <f>IF(AND(M11="Yes",R11="Yes"),"Yes","No")</f>
        <v/>
      </c>
      <c r="W11">
        <f>IF(AND(M11="Yes",T11="Yes"),"Yes","No")</f>
        <v/>
      </c>
      <c r="X11">
        <f>IF(AND(M11="Yes",S11="Yes"),"Yes","No")</f>
        <v/>
      </c>
      <c r="Y11">
        <f>IF(AND(M11="Yes",U11="Yes"),"Yes","No")</f>
        <v/>
      </c>
      <c r="Z11">
        <f>IF(AND(N11="Yes",R11="Yes"),"Yes","No")</f>
        <v/>
      </c>
      <c r="AA11">
        <f>IF(AND(N11="Yes",T11="Yes"),"Yes","No")</f>
        <v/>
      </c>
      <c r="AB11">
        <f>IF(AND(N11="Yes",S11="Yes"),"Yes","No")</f>
        <v/>
      </c>
      <c r="AC11">
        <f>IF(AND(N11="Yes",U11="Yes"),"Yes","No")</f>
        <v/>
      </c>
      <c r="AD11">
        <f>IF(AND(O11="Yes",R11="Yes"),"Yes","No")</f>
        <v/>
      </c>
      <c r="AE11">
        <f>IF(AND(O11="Yes",T11="Yes"),"Yes","No")</f>
        <v/>
      </c>
      <c r="AF11">
        <f>IF(AND(O11="Yes",S11="Yes"),"Yes","No")</f>
        <v/>
      </c>
      <c r="AG11">
        <f>IF(AND(O11="Yes",U11="Yes"),"Yes","No")</f>
        <v/>
      </c>
    </row>
    <row r="12">
      <c r="A12" t="inlineStr">
        <is>
          <t>2605678</t>
        </is>
      </c>
      <c r="B12">
        <f>IFERROR(INDEX(tbl_Districts_Clean[District_Name],MATCH(A12,tbl_Districts_Clean[NCES_ID],0)),"")</f>
        <v/>
      </c>
      <c r="C12">
        <f>IFERROR(INDEX(tbl_Districts_Clean[County],MATCH(A12,tbl_Districts_Clean[NCES_ID],0)),"")</f>
        <v/>
      </c>
      <c r="D12" t="inlineStr">
        <is>
          <t>47.0201</t>
        </is>
      </c>
      <c r="E12" t="inlineStr">
        <is>
          <t>HVAC (ISD Shared)</t>
        </is>
      </c>
      <c r="F12">
        <f>IFERROR(INDEX(tbl_CIP_SOC_Crosswalk[SOC_Code],MATCH(D12,tbl_CIP_SOC_Crosswalk[CIP_Code],0)),"")</f>
        <v/>
      </c>
      <c r="G12">
        <f>IFERROR(INDEX(tbl_CIP_SOC_Crosswalk[Pathway_Name],MATCH(D12,tbl_CIP_SOC_Crosswalk[CIP_Code],0)),"")</f>
        <v/>
      </c>
      <c r="H12">
        <f>IFERROR(SUMIFS(tbl_Labor_County[Median_Wage],tbl_Labor_County[County],C12,tbl_Labor_County[SOC_Code],F12),0)</f>
        <v/>
      </c>
      <c r="I12">
        <f>IFERROR(SUMIFS(tbl_Labor_County[Regional_Median_Wage],tbl_Labor_County[County],C12,tbl_Labor_County[SOC_Code],F12),0)</f>
        <v/>
      </c>
      <c r="J12">
        <f>IFERROR(SUMIFS(tbl_Labor_County[Annual_Openings_Current],tbl_Labor_County[County],C12,tbl_Labor_County[SOC_Code],F12),0)</f>
        <v/>
      </c>
      <c r="K12">
        <f>IFERROR(SUMIFS(tbl_Labor_County[Annual_Openings_10yr],tbl_Labor_County[County],C12,tbl_Labor_County[SOC_Code],F12),0)</f>
        <v/>
      </c>
      <c r="L12">
        <f>IF(I12=0,0,H12/I12)</f>
        <v/>
      </c>
      <c r="M12">
        <f>IF(L12&gt;=1.10,"Yes","No")</f>
        <v/>
      </c>
      <c r="N12">
        <f>IF(L12&gt;=1.20,"Yes","No")</f>
        <v/>
      </c>
      <c r="O12">
        <f>IF(L12&gt;=1.30,"Yes","No")</f>
        <v/>
      </c>
      <c r="P12">
        <f>IF(J12=0,999,COUNTIFS(tbl_Labor_County[County],C12,tbl_Labor_County[Annual_Openings_Current],"&gt;"&amp;J12)+1)</f>
        <v/>
      </c>
      <c r="Q12">
        <f>IF(K12=0,999,COUNTIFS(tbl_Labor_County[County],C12,tbl_Labor_County[Annual_Openings_10yr],"&gt;"&amp;K12)+1)</f>
        <v/>
      </c>
      <c r="R12">
        <f>IF(P12&lt;=15,"Yes","No")</f>
        <v/>
      </c>
      <c r="S12">
        <f>IF(P12&lt;=20,"Yes","No")</f>
        <v/>
      </c>
      <c r="T12">
        <f>IF(Q12&lt;=15,"Yes","No")</f>
        <v/>
      </c>
      <c r="U12">
        <f>IF(Q12&lt;=20,"Yes","No")</f>
        <v/>
      </c>
      <c r="V12">
        <f>IF(AND(M12="Yes",R12="Yes"),"Yes","No")</f>
        <v/>
      </c>
      <c r="W12">
        <f>IF(AND(M12="Yes",T12="Yes"),"Yes","No")</f>
        <v/>
      </c>
      <c r="X12">
        <f>IF(AND(M12="Yes",S12="Yes"),"Yes","No")</f>
        <v/>
      </c>
      <c r="Y12">
        <f>IF(AND(M12="Yes",U12="Yes"),"Yes","No")</f>
        <v/>
      </c>
      <c r="Z12">
        <f>IF(AND(N12="Yes",R12="Yes"),"Yes","No")</f>
        <v/>
      </c>
      <c r="AA12">
        <f>IF(AND(N12="Yes",T12="Yes"),"Yes","No")</f>
        <v/>
      </c>
      <c r="AB12">
        <f>IF(AND(N12="Yes",S12="Yes"),"Yes","No")</f>
        <v/>
      </c>
      <c r="AC12">
        <f>IF(AND(N12="Yes",U12="Yes"),"Yes","No")</f>
        <v/>
      </c>
      <c r="AD12">
        <f>IF(AND(O12="Yes",R12="Yes"),"Yes","No")</f>
        <v/>
      </c>
      <c r="AE12">
        <f>IF(AND(O12="Yes",T12="Yes"),"Yes","No")</f>
        <v/>
      </c>
      <c r="AF12">
        <f>IF(AND(O12="Yes",S12="Yes"),"Yes","No")</f>
        <v/>
      </c>
      <c r="AG12">
        <f>IF(AND(O12="Yes",U12="Yes"),"Yes","No")</f>
        <v/>
      </c>
    </row>
    <row r="13">
      <c r="A13" t="inlineStr">
        <is>
          <t>2609876</t>
        </is>
      </c>
      <c r="B13">
        <f>IFERROR(INDEX(tbl_Districts_Clean[District_Name],MATCH(A13,tbl_Districts_Clean[NCES_ID],0)),"")</f>
        <v/>
      </c>
      <c r="C13">
        <f>IFERROR(INDEX(tbl_Districts_Clean[County],MATCH(A13,tbl_Districts_Clean[NCES_ID],0)),"")</f>
        <v/>
      </c>
      <c r="D13" t="inlineStr">
        <is>
          <t>01.0101</t>
        </is>
      </c>
      <c r="E13" t="inlineStr">
        <is>
          <t>Agricultural Science</t>
        </is>
      </c>
      <c r="F13">
        <f>IFERROR(INDEX(tbl_CIP_SOC_Crosswalk[SOC_Code],MATCH(D13,tbl_CIP_SOC_Crosswalk[CIP_Code],0)),"")</f>
        <v/>
      </c>
      <c r="G13">
        <f>IFERROR(INDEX(tbl_CIP_SOC_Crosswalk[Pathway_Name],MATCH(D13,tbl_CIP_SOC_Crosswalk[CIP_Code],0)),"")</f>
        <v/>
      </c>
      <c r="H13">
        <f>IFERROR(SUMIFS(tbl_Labor_County[Median_Wage],tbl_Labor_County[County],C13,tbl_Labor_County[SOC_Code],F13),0)</f>
        <v/>
      </c>
      <c r="I13">
        <f>IFERROR(SUMIFS(tbl_Labor_County[Regional_Median_Wage],tbl_Labor_County[County],C13,tbl_Labor_County[SOC_Code],F13),0)</f>
        <v/>
      </c>
      <c r="J13">
        <f>IFERROR(SUMIFS(tbl_Labor_County[Annual_Openings_Current],tbl_Labor_County[County],C13,tbl_Labor_County[SOC_Code],F13),0)</f>
        <v/>
      </c>
      <c r="K13">
        <f>IFERROR(SUMIFS(tbl_Labor_County[Annual_Openings_10yr],tbl_Labor_County[County],C13,tbl_Labor_County[SOC_Code],F13),0)</f>
        <v/>
      </c>
      <c r="L13">
        <f>IF(I13=0,0,H13/I13)</f>
        <v/>
      </c>
      <c r="M13">
        <f>IF(L13&gt;=1.10,"Yes","No")</f>
        <v/>
      </c>
      <c r="N13">
        <f>IF(L13&gt;=1.20,"Yes","No")</f>
        <v/>
      </c>
      <c r="O13">
        <f>IF(L13&gt;=1.30,"Yes","No")</f>
        <v/>
      </c>
      <c r="P13">
        <f>IF(J13=0,999,COUNTIFS(tbl_Labor_County[County],C13,tbl_Labor_County[Annual_Openings_Current],"&gt;"&amp;J13)+1)</f>
        <v/>
      </c>
      <c r="Q13">
        <f>IF(K13=0,999,COUNTIFS(tbl_Labor_County[County],C13,tbl_Labor_County[Annual_Openings_10yr],"&gt;"&amp;K13)+1)</f>
        <v/>
      </c>
      <c r="R13">
        <f>IF(P13&lt;=15,"Yes","No")</f>
        <v/>
      </c>
      <c r="S13">
        <f>IF(P13&lt;=20,"Yes","No")</f>
        <v/>
      </c>
      <c r="T13">
        <f>IF(Q13&lt;=15,"Yes","No")</f>
        <v/>
      </c>
      <c r="U13">
        <f>IF(Q13&lt;=20,"Yes","No")</f>
        <v/>
      </c>
      <c r="V13">
        <f>IF(AND(M13="Yes",R13="Yes"),"Yes","No")</f>
        <v/>
      </c>
      <c r="W13">
        <f>IF(AND(M13="Yes",T13="Yes"),"Yes","No")</f>
        <v/>
      </c>
      <c r="X13">
        <f>IF(AND(M13="Yes",S13="Yes"),"Yes","No")</f>
        <v/>
      </c>
      <c r="Y13">
        <f>IF(AND(M13="Yes",U13="Yes"),"Yes","No")</f>
        <v/>
      </c>
      <c r="Z13">
        <f>IF(AND(N13="Yes",R13="Yes"),"Yes","No")</f>
        <v/>
      </c>
      <c r="AA13">
        <f>IF(AND(N13="Yes",T13="Yes"),"Yes","No")</f>
        <v/>
      </c>
      <c r="AB13">
        <f>IF(AND(N13="Yes",S13="Yes"),"Yes","No")</f>
        <v/>
      </c>
      <c r="AC13">
        <f>IF(AND(N13="Yes",U13="Yes"),"Yes","No")</f>
        <v/>
      </c>
      <c r="AD13">
        <f>IF(AND(O13="Yes",R13="Yes"),"Yes","No")</f>
        <v/>
      </c>
      <c r="AE13">
        <f>IF(AND(O13="Yes",T13="Yes"),"Yes","No")</f>
        <v/>
      </c>
      <c r="AF13">
        <f>IF(AND(O13="Yes",S13="Yes"),"Yes","No")</f>
        <v/>
      </c>
      <c r="AG13">
        <f>IF(AND(O13="Yes",U13="Yes"),"Yes","No")</f>
        <v/>
      </c>
    </row>
    <row r="14">
      <c r="A14" t="inlineStr">
        <is>
          <t>2609876</t>
        </is>
      </c>
      <c r="B14">
        <f>IFERROR(INDEX(tbl_Districts_Clean[District_Name],MATCH(A14,tbl_Districts_Clean[NCES_ID],0)),"")</f>
        <v/>
      </c>
      <c r="C14">
        <f>IFERROR(INDEX(tbl_Districts_Clean[County],MATCH(A14,tbl_Districts_Clean[NCES_ID],0)),"")</f>
        <v/>
      </c>
      <c r="D14" t="inlineStr">
        <is>
          <t>47.0605</t>
        </is>
      </c>
      <c r="E14" t="inlineStr">
        <is>
          <t>Welding (ISD Shared)</t>
        </is>
      </c>
      <c r="F14">
        <f>IFERROR(INDEX(tbl_CIP_SOC_Crosswalk[SOC_Code],MATCH(D14,tbl_CIP_SOC_Crosswalk[CIP_Code],0)),"")</f>
        <v/>
      </c>
      <c r="G14">
        <f>IFERROR(INDEX(tbl_CIP_SOC_Crosswalk[Pathway_Name],MATCH(D14,tbl_CIP_SOC_Crosswalk[CIP_Code],0)),"")</f>
        <v/>
      </c>
      <c r="H14">
        <f>IFERROR(SUMIFS(tbl_Labor_County[Median_Wage],tbl_Labor_County[County],C14,tbl_Labor_County[SOC_Code],F14),0)</f>
        <v/>
      </c>
      <c r="I14">
        <f>IFERROR(SUMIFS(tbl_Labor_County[Regional_Median_Wage],tbl_Labor_County[County],C14,tbl_Labor_County[SOC_Code],F14),0)</f>
        <v/>
      </c>
      <c r="J14">
        <f>IFERROR(SUMIFS(tbl_Labor_County[Annual_Openings_Current],tbl_Labor_County[County],C14,tbl_Labor_County[SOC_Code],F14),0)</f>
        <v/>
      </c>
      <c r="K14">
        <f>IFERROR(SUMIFS(tbl_Labor_County[Annual_Openings_10yr],tbl_Labor_County[County],C14,tbl_Labor_County[SOC_Code],F14),0)</f>
        <v/>
      </c>
      <c r="L14">
        <f>IF(I14=0,0,H14/I14)</f>
        <v/>
      </c>
      <c r="M14">
        <f>IF(L14&gt;=1.10,"Yes","No")</f>
        <v/>
      </c>
      <c r="N14">
        <f>IF(L14&gt;=1.20,"Yes","No")</f>
        <v/>
      </c>
      <c r="O14">
        <f>IF(L14&gt;=1.30,"Yes","No")</f>
        <v/>
      </c>
      <c r="P14">
        <f>IF(J14=0,999,COUNTIFS(tbl_Labor_County[County],C14,tbl_Labor_County[Annual_Openings_Current],"&gt;"&amp;J14)+1)</f>
        <v/>
      </c>
      <c r="Q14">
        <f>IF(K14=0,999,COUNTIFS(tbl_Labor_County[County],C14,tbl_Labor_County[Annual_Openings_10yr],"&gt;"&amp;K14)+1)</f>
        <v/>
      </c>
      <c r="R14">
        <f>IF(P14&lt;=15,"Yes","No")</f>
        <v/>
      </c>
      <c r="S14">
        <f>IF(P14&lt;=20,"Yes","No")</f>
        <v/>
      </c>
      <c r="T14">
        <f>IF(Q14&lt;=15,"Yes","No")</f>
        <v/>
      </c>
      <c r="U14">
        <f>IF(Q14&lt;=20,"Yes","No")</f>
        <v/>
      </c>
      <c r="V14">
        <f>IF(AND(M14="Yes",R14="Yes"),"Yes","No")</f>
        <v/>
      </c>
      <c r="W14">
        <f>IF(AND(M14="Yes",T14="Yes"),"Yes","No")</f>
        <v/>
      </c>
      <c r="X14">
        <f>IF(AND(M14="Yes",S14="Yes"),"Yes","No")</f>
        <v/>
      </c>
      <c r="Y14">
        <f>IF(AND(M14="Yes",U14="Yes"),"Yes","No")</f>
        <v/>
      </c>
      <c r="Z14">
        <f>IF(AND(N14="Yes",R14="Yes"),"Yes","No")</f>
        <v/>
      </c>
      <c r="AA14">
        <f>IF(AND(N14="Yes",T14="Yes"),"Yes","No")</f>
        <v/>
      </c>
      <c r="AB14">
        <f>IF(AND(N14="Yes",S14="Yes"),"Yes","No")</f>
        <v/>
      </c>
      <c r="AC14">
        <f>IF(AND(N14="Yes",U14="Yes"),"Yes","No")</f>
        <v/>
      </c>
      <c r="AD14">
        <f>IF(AND(O14="Yes",R14="Yes"),"Yes","No")</f>
        <v/>
      </c>
      <c r="AE14">
        <f>IF(AND(O14="Yes",T14="Yes"),"Yes","No")</f>
        <v/>
      </c>
      <c r="AF14">
        <f>IF(AND(O14="Yes",S14="Yes"),"Yes","No")</f>
        <v/>
      </c>
      <c r="AG14">
        <f>IF(AND(O14="Yes",U14="Yes"),"Yes","No")</f>
        <v/>
      </c>
    </row>
    <row r="15">
      <c r="A15" t="inlineStr">
        <is>
          <t>2602345</t>
        </is>
      </c>
      <c r="B15">
        <f>IFERROR(INDEX(tbl_Districts_Clean[District_Name],MATCH(A15,tbl_Districts_Clean[NCES_ID],0)),"")</f>
        <v/>
      </c>
      <c r="C15">
        <f>IFERROR(INDEX(tbl_Districts_Clean[County],MATCH(A15,tbl_Districts_Clean[NCES_ID],0)),"")</f>
        <v/>
      </c>
      <c r="D15" t="inlineStr">
        <is>
          <t>47.0201</t>
        </is>
      </c>
      <c r="E15" t="inlineStr">
        <is>
          <t>HVAC Technology</t>
        </is>
      </c>
      <c r="F15">
        <f>IFERROR(INDEX(tbl_CIP_SOC_Crosswalk[SOC_Code],MATCH(D15,tbl_CIP_SOC_Crosswalk[CIP_Code],0)),"")</f>
        <v/>
      </c>
      <c r="G15">
        <f>IFERROR(INDEX(tbl_CIP_SOC_Crosswalk[Pathway_Name],MATCH(D15,tbl_CIP_SOC_Crosswalk[CIP_Code],0)),"")</f>
        <v/>
      </c>
      <c r="H15">
        <f>IFERROR(SUMIFS(tbl_Labor_County[Median_Wage],tbl_Labor_County[County],C15,tbl_Labor_County[SOC_Code],F15),0)</f>
        <v/>
      </c>
      <c r="I15">
        <f>IFERROR(SUMIFS(tbl_Labor_County[Regional_Median_Wage],tbl_Labor_County[County],C15,tbl_Labor_County[SOC_Code],F15),0)</f>
        <v/>
      </c>
      <c r="J15">
        <f>IFERROR(SUMIFS(tbl_Labor_County[Annual_Openings_Current],tbl_Labor_County[County],C15,tbl_Labor_County[SOC_Code],F15),0)</f>
        <v/>
      </c>
      <c r="K15">
        <f>IFERROR(SUMIFS(tbl_Labor_County[Annual_Openings_10yr],tbl_Labor_County[County],C15,tbl_Labor_County[SOC_Code],F15),0)</f>
        <v/>
      </c>
      <c r="L15">
        <f>IF(I15=0,0,H15/I15)</f>
        <v/>
      </c>
      <c r="M15">
        <f>IF(L15&gt;=1.10,"Yes","No")</f>
        <v/>
      </c>
      <c r="N15">
        <f>IF(L15&gt;=1.20,"Yes","No")</f>
        <v/>
      </c>
      <c r="O15">
        <f>IF(L15&gt;=1.30,"Yes","No")</f>
        <v/>
      </c>
      <c r="P15">
        <f>IF(J15=0,999,COUNTIFS(tbl_Labor_County[County],C15,tbl_Labor_County[Annual_Openings_Current],"&gt;"&amp;J15)+1)</f>
        <v/>
      </c>
      <c r="Q15">
        <f>IF(K15=0,999,COUNTIFS(tbl_Labor_County[County],C15,tbl_Labor_County[Annual_Openings_10yr],"&gt;"&amp;K15)+1)</f>
        <v/>
      </c>
      <c r="R15">
        <f>IF(P15&lt;=15,"Yes","No")</f>
        <v/>
      </c>
      <c r="S15">
        <f>IF(P15&lt;=20,"Yes","No")</f>
        <v/>
      </c>
      <c r="T15">
        <f>IF(Q15&lt;=15,"Yes","No")</f>
        <v/>
      </c>
      <c r="U15">
        <f>IF(Q15&lt;=20,"Yes","No")</f>
        <v/>
      </c>
      <c r="V15">
        <f>IF(AND(M15="Yes",R15="Yes"),"Yes","No")</f>
        <v/>
      </c>
      <c r="W15">
        <f>IF(AND(M15="Yes",T15="Yes"),"Yes","No")</f>
        <v/>
      </c>
      <c r="X15">
        <f>IF(AND(M15="Yes",S15="Yes"),"Yes","No")</f>
        <v/>
      </c>
      <c r="Y15">
        <f>IF(AND(M15="Yes",U15="Yes"),"Yes","No")</f>
        <v/>
      </c>
      <c r="Z15">
        <f>IF(AND(N15="Yes",R15="Yes"),"Yes","No")</f>
        <v/>
      </c>
      <c r="AA15">
        <f>IF(AND(N15="Yes",T15="Yes"),"Yes","No")</f>
        <v/>
      </c>
      <c r="AB15">
        <f>IF(AND(N15="Yes",S15="Yes"),"Yes","No")</f>
        <v/>
      </c>
      <c r="AC15">
        <f>IF(AND(N15="Yes",U15="Yes"),"Yes","No")</f>
        <v/>
      </c>
      <c r="AD15">
        <f>IF(AND(O15="Yes",R15="Yes"),"Yes","No")</f>
        <v/>
      </c>
      <c r="AE15">
        <f>IF(AND(O15="Yes",T15="Yes"),"Yes","No")</f>
        <v/>
      </c>
      <c r="AF15">
        <f>IF(AND(O15="Yes",S15="Yes"),"Yes","No")</f>
        <v/>
      </c>
      <c r="AG15">
        <f>IF(AND(O15="Yes",U15="Yes"),"Yes","No")</f>
        <v/>
      </c>
    </row>
    <row r="16">
      <c r="A16" t="inlineStr">
        <is>
          <t>2602345</t>
        </is>
      </c>
      <c r="B16">
        <f>IFERROR(INDEX(tbl_Districts_Clean[District_Name],MATCH(A16,tbl_Districts_Clean[NCES_ID],0)),"")</f>
        <v/>
      </c>
      <c r="C16">
        <f>IFERROR(INDEX(tbl_Districts_Clean[County],MATCH(A16,tbl_Districts_Clean[NCES_ID],0)),"")</f>
        <v/>
      </c>
      <c r="D16" t="inlineStr">
        <is>
          <t>52.0201</t>
        </is>
      </c>
      <c r="E16" t="inlineStr">
        <is>
          <t>Business &amp; Marketing</t>
        </is>
      </c>
      <c r="F16">
        <f>IFERROR(INDEX(tbl_CIP_SOC_Crosswalk[SOC_Code],MATCH(D16,tbl_CIP_SOC_Crosswalk[CIP_Code],0)),"")</f>
        <v/>
      </c>
      <c r="G16">
        <f>IFERROR(INDEX(tbl_CIP_SOC_Crosswalk[Pathway_Name],MATCH(D16,tbl_CIP_SOC_Crosswalk[CIP_Code],0)),"")</f>
        <v/>
      </c>
      <c r="H16">
        <f>IFERROR(SUMIFS(tbl_Labor_County[Median_Wage],tbl_Labor_County[County],C16,tbl_Labor_County[SOC_Code],F16),0)</f>
        <v/>
      </c>
      <c r="I16">
        <f>IFERROR(SUMIFS(tbl_Labor_County[Regional_Median_Wage],tbl_Labor_County[County],C16,tbl_Labor_County[SOC_Code],F16),0)</f>
        <v/>
      </c>
      <c r="J16">
        <f>IFERROR(SUMIFS(tbl_Labor_County[Annual_Openings_Current],tbl_Labor_County[County],C16,tbl_Labor_County[SOC_Code],F16),0)</f>
        <v/>
      </c>
      <c r="K16">
        <f>IFERROR(SUMIFS(tbl_Labor_County[Annual_Openings_10yr],tbl_Labor_County[County],C16,tbl_Labor_County[SOC_Code],F16),0)</f>
        <v/>
      </c>
      <c r="L16">
        <f>IF(I16=0,0,H16/I16)</f>
        <v/>
      </c>
      <c r="M16">
        <f>IF(L16&gt;=1.10,"Yes","No")</f>
        <v/>
      </c>
      <c r="N16">
        <f>IF(L16&gt;=1.20,"Yes","No")</f>
        <v/>
      </c>
      <c r="O16">
        <f>IF(L16&gt;=1.30,"Yes","No")</f>
        <v/>
      </c>
      <c r="P16">
        <f>IF(J16=0,999,COUNTIFS(tbl_Labor_County[County],C16,tbl_Labor_County[Annual_Openings_Current],"&gt;"&amp;J16)+1)</f>
        <v/>
      </c>
      <c r="Q16">
        <f>IF(K16=0,999,COUNTIFS(tbl_Labor_County[County],C16,tbl_Labor_County[Annual_Openings_10yr],"&gt;"&amp;K16)+1)</f>
        <v/>
      </c>
      <c r="R16">
        <f>IF(P16&lt;=15,"Yes","No")</f>
        <v/>
      </c>
      <c r="S16">
        <f>IF(P16&lt;=20,"Yes","No")</f>
        <v/>
      </c>
      <c r="T16">
        <f>IF(Q16&lt;=15,"Yes","No")</f>
        <v/>
      </c>
      <c r="U16">
        <f>IF(Q16&lt;=20,"Yes","No")</f>
        <v/>
      </c>
      <c r="V16">
        <f>IF(AND(M16="Yes",R16="Yes"),"Yes","No")</f>
        <v/>
      </c>
      <c r="W16">
        <f>IF(AND(M16="Yes",T16="Yes"),"Yes","No")</f>
        <v/>
      </c>
      <c r="X16">
        <f>IF(AND(M16="Yes",S16="Yes"),"Yes","No")</f>
        <v/>
      </c>
      <c r="Y16">
        <f>IF(AND(M16="Yes",U16="Yes"),"Yes","No")</f>
        <v/>
      </c>
      <c r="Z16">
        <f>IF(AND(N16="Yes",R16="Yes"),"Yes","No")</f>
        <v/>
      </c>
      <c r="AA16">
        <f>IF(AND(N16="Yes",T16="Yes"),"Yes","No")</f>
        <v/>
      </c>
      <c r="AB16">
        <f>IF(AND(N16="Yes",S16="Yes"),"Yes","No")</f>
        <v/>
      </c>
      <c r="AC16">
        <f>IF(AND(N16="Yes",U16="Yes"),"Yes","No")</f>
        <v/>
      </c>
      <c r="AD16">
        <f>IF(AND(O16="Yes",R16="Yes"),"Yes","No")</f>
        <v/>
      </c>
      <c r="AE16">
        <f>IF(AND(O16="Yes",T16="Yes"),"Yes","No")</f>
        <v/>
      </c>
      <c r="AF16">
        <f>IF(AND(O16="Yes",S16="Yes"),"Yes","No")</f>
        <v/>
      </c>
      <c r="AG16">
        <f>IF(AND(O16="Yes",U16="Yes"),"Yes","No")</f>
        <v/>
      </c>
    </row>
    <row r="17">
      <c r="A17" t="inlineStr">
        <is>
          <t>2602345</t>
        </is>
      </c>
      <c r="B17">
        <f>IFERROR(INDEX(tbl_Districts_Clean[District_Name],MATCH(A17,tbl_Districts_Clean[NCES_ID],0)),"")</f>
        <v/>
      </c>
      <c r="C17">
        <f>IFERROR(INDEX(tbl_Districts_Clean[County],MATCH(A17,tbl_Districts_Clean[NCES_ID],0)),"")</f>
        <v/>
      </c>
      <c r="D17" t="inlineStr">
        <is>
          <t>51.0801</t>
        </is>
      </c>
      <c r="E17" t="inlineStr">
        <is>
          <t>Health Occupations</t>
        </is>
      </c>
      <c r="F17">
        <f>IFERROR(INDEX(tbl_CIP_SOC_Crosswalk[SOC_Code],MATCH(D17,tbl_CIP_SOC_Crosswalk[CIP_Code],0)),"")</f>
        <v/>
      </c>
      <c r="G17">
        <f>IFERROR(INDEX(tbl_CIP_SOC_Crosswalk[Pathway_Name],MATCH(D17,tbl_CIP_SOC_Crosswalk[CIP_Code],0)),"")</f>
        <v/>
      </c>
      <c r="H17">
        <f>IFERROR(SUMIFS(tbl_Labor_County[Median_Wage],tbl_Labor_County[County],C17,tbl_Labor_County[SOC_Code],F17),0)</f>
        <v/>
      </c>
      <c r="I17">
        <f>IFERROR(SUMIFS(tbl_Labor_County[Regional_Median_Wage],tbl_Labor_County[County],C17,tbl_Labor_County[SOC_Code],F17),0)</f>
        <v/>
      </c>
      <c r="J17">
        <f>IFERROR(SUMIFS(tbl_Labor_County[Annual_Openings_Current],tbl_Labor_County[County],C17,tbl_Labor_County[SOC_Code],F17),0)</f>
        <v/>
      </c>
      <c r="K17">
        <f>IFERROR(SUMIFS(tbl_Labor_County[Annual_Openings_10yr],tbl_Labor_County[County],C17,tbl_Labor_County[SOC_Code],F17),0)</f>
        <v/>
      </c>
      <c r="L17">
        <f>IF(I17=0,0,H17/I17)</f>
        <v/>
      </c>
      <c r="M17">
        <f>IF(L17&gt;=1.10,"Yes","No")</f>
        <v/>
      </c>
      <c r="N17">
        <f>IF(L17&gt;=1.20,"Yes","No")</f>
        <v/>
      </c>
      <c r="O17">
        <f>IF(L17&gt;=1.30,"Yes","No")</f>
        <v/>
      </c>
      <c r="P17">
        <f>IF(J17=0,999,COUNTIFS(tbl_Labor_County[County],C17,tbl_Labor_County[Annual_Openings_Current],"&gt;"&amp;J17)+1)</f>
        <v/>
      </c>
      <c r="Q17">
        <f>IF(K17=0,999,COUNTIFS(tbl_Labor_County[County],C17,tbl_Labor_County[Annual_Openings_10yr],"&gt;"&amp;K17)+1)</f>
        <v/>
      </c>
      <c r="R17">
        <f>IF(P17&lt;=15,"Yes","No")</f>
        <v/>
      </c>
      <c r="S17">
        <f>IF(P17&lt;=20,"Yes","No")</f>
        <v/>
      </c>
      <c r="T17">
        <f>IF(Q17&lt;=15,"Yes","No")</f>
        <v/>
      </c>
      <c r="U17">
        <f>IF(Q17&lt;=20,"Yes","No")</f>
        <v/>
      </c>
      <c r="V17">
        <f>IF(AND(M17="Yes",R17="Yes"),"Yes","No")</f>
        <v/>
      </c>
      <c r="W17">
        <f>IF(AND(M17="Yes",T17="Yes"),"Yes","No")</f>
        <v/>
      </c>
      <c r="X17">
        <f>IF(AND(M17="Yes",S17="Yes"),"Yes","No")</f>
        <v/>
      </c>
      <c r="Y17">
        <f>IF(AND(M17="Yes",U17="Yes"),"Yes","No")</f>
        <v/>
      </c>
      <c r="Z17">
        <f>IF(AND(N17="Yes",R17="Yes"),"Yes","No")</f>
        <v/>
      </c>
      <c r="AA17">
        <f>IF(AND(N17="Yes",T17="Yes"),"Yes","No")</f>
        <v/>
      </c>
      <c r="AB17">
        <f>IF(AND(N17="Yes",S17="Yes"),"Yes","No")</f>
        <v/>
      </c>
      <c r="AC17">
        <f>IF(AND(N17="Yes",U17="Yes"),"Yes","No")</f>
        <v/>
      </c>
      <c r="AD17">
        <f>IF(AND(O17="Yes",R17="Yes"),"Yes","No")</f>
        <v/>
      </c>
      <c r="AE17">
        <f>IF(AND(O17="Yes",T17="Yes"),"Yes","No")</f>
        <v/>
      </c>
      <c r="AF17">
        <f>IF(AND(O17="Yes",S17="Yes"),"Yes","No")</f>
        <v/>
      </c>
      <c r="AG17">
        <f>IF(AND(O17="Yes",U17="Yes"),"Yes","No")</f>
        <v/>
      </c>
    </row>
    <row r="18">
      <c r="A18" t="inlineStr">
        <is>
          <t>2602345</t>
        </is>
      </c>
      <c r="B18">
        <f>IFERROR(INDEX(tbl_Districts_Clean[District_Name],MATCH(A18,tbl_Districts_Clean[NCES_ID],0)),"")</f>
        <v/>
      </c>
      <c r="C18">
        <f>IFERROR(INDEX(tbl_Districts_Clean[County],MATCH(A18,tbl_Districts_Clean[NCES_ID],0)),"")</f>
        <v/>
      </c>
      <c r="D18" t="inlineStr">
        <is>
          <t>11.0201</t>
        </is>
      </c>
      <c r="E18" t="inlineStr">
        <is>
          <t>Information Technology</t>
        </is>
      </c>
      <c r="F18">
        <f>IFERROR(INDEX(tbl_CIP_SOC_Crosswalk[SOC_Code],MATCH(D18,tbl_CIP_SOC_Crosswalk[CIP_Code],0)),"")</f>
        <v/>
      </c>
      <c r="G18">
        <f>IFERROR(INDEX(tbl_CIP_SOC_Crosswalk[Pathway_Name],MATCH(D18,tbl_CIP_SOC_Crosswalk[CIP_Code],0)),"")</f>
        <v/>
      </c>
      <c r="H18">
        <f>IFERROR(SUMIFS(tbl_Labor_County[Median_Wage],tbl_Labor_County[County],C18,tbl_Labor_County[SOC_Code],F18),0)</f>
        <v/>
      </c>
      <c r="I18">
        <f>IFERROR(SUMIFS(tbl_Labor_County[Regional_Median_Wage],tbl_Labor_County[County],C18,tbl_Labor_County[SOC_Code],F18),0)</f>
        <v/>
      </c>
      <c r="J18">
        <f>IFERROR(SUMIFS(tbl_Labor_County[Annual_Openings_Current],tbl_Labor_County[County],C18,tbl_Labor_County[SOC_Code],F18),0)</f>
        <v/>
      </c>
      <c r="K18">
        <f>IFERROR(SUMIFS(tbl_Labor_County[Annual_Openings_10yr],tbl_Labor_County[County],C18,tbl_Labor_County[SOC_Code],F18),0)</f>
        <v/>
      </c>
      <c r="L18">
        <f>IF(I18=0,0,H18/I18)</f>
        <v/>
      </c>
      <c r="M18">
        <f>IF(L18&gt;=1.10,"Yes","No")</f>
        <v/>
      </c>
      <c r="N18">
        <f>IF(L18&gt;=1.20,"Yes","No")</f>
        <v/>
      </c>
      <c r="O18">
        <f>IF(L18&gt;=1.30,"Yes","No")</f>
        <v/>
      </c>
      <c r="P18">
        <f>IF(J18=0,999,COUNTIFS(tbl_Labor_County[County],C18,tbl_Labor_County[Annual_Openings_Current],"&gt;"&amp;J18)+1)</f>
        <v/>
      </c>
      <c r="Q18">
        <f>IF(K18=0,999,COUNTIFS(tbl_Labor_County[County],C18,tbl_Labor_County[Annual_Openings_10yr],"&gt;"&amp;K18)+1)</f>
        <v/>
      </c>
      <c r="R18">
        <f>IF(P18&lt;=15,"Yes","No")</f>
        <v/>
      </c>
      <c r="S18">
        <f>IF(P18&lt;=20,"Yes","No")</f>
        <v/>
      </c>
      <c r="T18">
        <f>IF(Q18&lt;=15,"Yes","No")</f>
        <v/>
      </c>
      <c r="U18">
        <f>IF(Q18&lt;=20,"Yes","No")</f>
        <v/>
      </c>
      <c r="V18">
        <f>IF(AND(M18="Yes",R18="Yes"),"Yes","No")</f>
        <v/>
      </c>
      <c r="W18">
        <f>IF(AND(M18="Yes",T18="Yes"),"Yes","No")</f>
        <v/>
      </c>
      <c r="X18">
        <f>IF(AND(M18="Yes",S18="Yes"),"Yes","No")</f>
        <v/>
      </c>
      <c r="Y18">
        <f>IF(AND(M18="Yes",U18="Yes"),"Yes","No")</f>
        <v/>
      </c>
      <c r="Z18">
        <f>IF(AND(N18="Yes",R18="Yes"),"Yes","No")</f>
        <v/>
      </c>
      <c r="AA18">
        <f>IF(AND(N18="Yes",T18="Yes"),"Yes","No")</f>
        <v/>
      </c>
      <c r="AB18">
        <f>IF(AND(N18="Yes",S18="Yes"),"Yes","No")</f>
        <v/>
      </c>
      <c r="AC18">
        <f>IF(AND(N18="Yes",U18="Yes"),"Yes","No")</f>
        <v/>
      </c>
      <c r="AD18">
        <f>IF(AND(O18="Yes",R18="Yes"),"Yes","No")</f>
        <v/>
      </c>
      <c r="AE18">
        <f>IF(AND(O18="Yes",T18="Yes"),"Yes","No")</f>
        <v/>
      </c>
      <c r="AF18">
        <f>IF(AND(O18="Yes",S18="Yes"),"Yes","No")</f>
        <v/>
      </c>
      <c r="AG18">
        <f>IF(AND(O18="Yes",U18="Yes"),"Yes","No")</f>
        <v/>
      </c>
    </row>
    <row r="19">
      <c r="A19" t="inlineStr">
        <is>
          <t>2603456</t>
        </is>
      </c>
      <c r="B19">
        <f>IFERROR(INDEX(tbl_Districts_Clean[District_Name],MATCH(A19,tbl_Districts_Clean[NCES_ID],0)),"")</f>
        <v/>
      </c>
      <c r="C19">
        <f>IFERROR(INDEX(tbl_Districts_Clean[County],MATCH(A19,tbl_Districts_Clean[NCES_ID],0)),"")</f>
        <v/>
      </c>
      <c r="D19" t="inlineStr">
        <is>
          <t>11.0201</t>
        </is>
      </c>
      <c r="E19" t="inlineStr">
        <is>
          <t>Computer Science</t>
        </is>
      </c>
      <c r="F19">
        <f>IFERROR(INDEX(tbl_CIP_SOC_Crosswalk[SOC_Code],MATCH(D19,tbl_CIP_SOC_Crosswalk[CIP_Code],0)),"")</f>
        <v/>
      </c>
      <c r="G19">
        <f>IFERROR(INDEX(tbl_CIP_SOC_Crosswalk[Pathway_Name],MATCH(D19,tbl_CIP_SOC_Crosswalk[CIP_Code],0)),"")</f>
        <v/>
      </c>
      <c r="H19">
        <f>IFERROR(SUMIFS(tbl_Labor_County[Median_Wage],tbl_Labor_County[County],C19,tbl_Labor_County[SOC_Code],F19),0)</f>
        <v/>
      </c>
      <c r="I19">
        <f>IFERROR(SUMIFS(tbl_Labor_County[Regional_Median_Wage],tbl_Labor_County[County],C19,tbl_Labor_County[SOC_Code],F19),0)</f>
        <v/>
      </c>
      <c r="J19">
        <f>IFERROR(SUMIFS(tbl_Labor_County[Annual_Openings_Current],tbl_Labor_County[County],C19,tbl_Labor_County[SOC_Code],F19),0)</f>
        <v/>
      </c>
      <c r="K19">
        <f>IFERROR(SUMIFS(tbl_Labor_County[Annual_Openings_10yr],tbl_Labor_County[County],C19,tbl_Labor_County[SOC_Code],F19),0)</f>
        <v/>
      </c>
      <c r="L19">
        <f>IF(I19=0,0,H19/I19)</f>
        <v/>
      </c>
      <c r="M19">
        <f>IF(L19&gt;=1.10,"Yes","No")</f>
        <v/>
      </c>
      <c r="N19">
        <f>IF(L19&gt;=1.20,"Yes","No")</f>
        <v/>
      </c>
      <c r="O19">
        <f>IF(L19&gt;=1.30,"Yes","No")</f>
        <v/>
      </c>
      <c r="P19">
        <f>IF(J19=0,999,COUNTIFS(tbl_Labor_County[County],C19,tbl_Labor_County[Annual_Openings_Current],"&gt;"&amp;J19)+1)</f>
        <v/>
      </c>
      <c r="Q19">
        <f>IF(K19=0,999,COUNTIFS(tbl_Labor_County[County],C19,tbl_Labor_County[Annual_Openings_10yr],"&gt;"&amp;K19)+1)</f>
        <v/>
      </c>
      <c r="R19">
        <f>IF(P19&lt;=15,"Yes","No")</f>
        <v/>
      </c>
      <c r="S19">
        <f>IF(P19&lt;=20,"Yes","No")</f>
        <v/>
      </c>
      <c r="T19">
        <f>IF(Q19&lt;=15,"Yes","No")</f>
        <v/>
      </c>
      <c r="U19">
        <f>IF(Q19&lt;=20,"Yes","No")</f>
        <v/>
      </c>
      <c r="V19">
        <f>IF(AND(M19="Yes",R19="Yes"),"Yes","No")</f>
        <v/>
      </c>
      <c r="W19">
        <f>IF(AND(M19="Yes",T19="Yes"),"Yes","No")</f>
        <v/>
      </c>
      <c r="X19">
        <f>IF(AND(M19="Yes",S19="Yes"),"Yes","No")</f>
        <v/>
      </c>
      <c r="Y19">
        <f>IF(AND(M19="Yes",U19="Yes"),"Yes","No")</f>
        <v/>
      </c>
      <c r="Z19">
        <f>IF(AND(N19="Yes",R19="Yes"),"Yes","No")</f>
        <v/>
      </c>
      <c r="AA19">
        <f>IF(AND(N19="Yes",T19="Yes"),"Yes","No")</f>
        <v/>
      </c>
      <c r="AB19">
        <f>IF(AND(N19="Yes",S19="Yes"),"Yes","No")</f>
        <v/>
      </c>
      <c r="AC19">
        <f>IF(AND(N19="Yes",U19="Yes"),"Yes","No")</f>
        <v/>
      </c>
      <c r="AD19">
        <f>IF(AND(O19="Yes",R19="Yes"),"Yes","No")</f>
        <v/>
      </c>
      <c r="AE19">
        <f>IF(AND(O19="Yes",T19="Yes"),"Yes","No")</f>
        <v/>
      </c>
      <c r="AF19">
        <f>IF(AND(O19="Yes",S19="Yes"),"Yes","No")</f>
        <v/>
      </c>
      <c r="AG19">
        <f>IF(AND(O19="Yes",U19="Yes"),"Yes","No")</f>
        <v/>
      </c>
    </row>
    <row r="20">
      <c r="A20" t="inlineStr">
        <is>
          <t>2603456</t>
        </is>
      </c>
      <c r="B20">
        <f>IFERROR(INDEX(tbl_Districts_Clean[District_Name],MATCH(A20,tbl_Districts_Clean[NCES_ID],0)),"")</f>
        <v/>
      </c>
      <c r="C20">
        <f>IFERROR(INDEX(tbl_Districts_Clean[County],MATCH(A20,tbl_Districts_Clean[NCES_ID],0)),"")</f>
        <v/>
      </c>
      <c r="D20" t="inlineStr">
        <is>
          <t>52.0201</t>
        </is>
      </c>
      <c r="E20" t="inlineStr">
        <is>
          <t>Business Analytics</t>
        </is>
      </c>
      <c r="F20">
        <f>IFERROR(INDEX(tbl_CIP_SOC_Crosswalk[SOC_Code],MATCH(D20,tbl_CIP_SOC_Crosswalk[CIP_Code],0)),"")</f>
        <v/>
      </c>
      <c r="G20">
        <f>IFERROR(INDEX(tbl_CIP_SOC_Crosswalk[Pathway_Name],MATCH(D20,tbl_CIP_SOC_Crosswalk[CIP_Code],0)),"")</f>
        <v/>
      </c>
      <c r="H20">
        <f>IFERROR(SUMIFS(tbl_Labor_County[Median_Wage],tbl_Labor_County[County],C20,tbl_Labor_County[SOC_Code],F20),0)</f>
        <v/>
      </c>
      <c r="I20">
        <f>IFERROR(SUMIFS(tbl_Labor_County[Regional_Median_Wage],tbl_Labor_County[County],C20,tbl_Labor_County[SOC_Code],F20),0)</f>
        <v/>
      </c>
      <c r="J20">
        <f>IFERROR(SUMIFS(tbl_Labor_County[Annual_Openings_Current],tbl_Labor_County[County],C20,tbl_Labor_County[SOC_Code],F20),0)</f>
        <v/>
      </c>
      <c r="K20">
        <f>IFERROR(SUMIFS(tbl_Labor_County[Annual_Openings_10yr],tbl_Labor_County[County],C20,tbl_Labor_County[SOC_Code],F20),0)</f>
        <v/>
      </c>
      <c r="L20">
        <f>IF(I20=0,0,H20/I20)</f>
        <v/>
      </c>
      <c r="M20">
        <f>IF(L20&gt;=1.10,"Yes","No")</f>
        <v/>
      </c>
      <c r="N20">
        <f>IF(L20&gt;=1.20,"Yes","No")</f>
        <v/>
      </c>
      <c r="O20">
        <f>IF(L20&gt;=1.30,"Yes","No")</f>
        <v/>
      </c>
      <c r="P20">
        <f>IF(J20=0,999,COUNTIFS(tbl_Labor_County[County],C20,tbl_Labor_County[Annual_Openings_Current],"&gt;"&amp;J20)+1)</f>
        <v/>
      </c>
      <c r="Q20">
        <f>IF(K20=0,999,COUNTIFS(tbl_Labor_County[County],C20,tbl_Labor_County[Annual_Openings_10yr],"&gt;"&amp;K20)+1)</f>
        <v/>
      </c>
      <c r="R20">
        <f>IF(P20&lt;=15,"Yes","No")</f>
        <v/>
      </c>
      <c r="S20">
        <f>IF(P20&lt;=20,"Yes","No")</f>
        <v/>
      </c>
      <c r="T20">
        <f>IF(Q20&lt;=15,"Yes","No")</f>
        <v/>
      </c>
      <c r="U20">
        <f>IF(Q20&lt;=20,"Yes","No")</f>
        <v/>
      </c>
      <c r="V20">
        <f>IF(AND(M20="Yes",R20="Yes"),"Yes","No")</f>
        <v/>
      </c>
      <c r="W20">
        <f>IF(AND(M20="Yes",T20="Yes"),"Yes","No")</f>
        <v/>
      </c>
      <c r="X20">
        <f>IF(AND(M20="Yes",S20="Yes"),"Yes","No")</f>
        <v/>
      </c>
      <c r="Y20">
        <f>IF(AND(M20="Yes",U20="Yes"),"Yes","No")</f>
        <v/>
      </c>
      <c r="Z20">
        <f>IF(AND(N20="Yes",R20="Yes"),"Yes","No")</f>
        <v/>
      </c>
      <c r="AA20">
        <f>IF(AND(N20="Yes",T20="Yes"),"Yes","No")</f>
        <v/>
      </c>
      <c r="AB20">
        <f>IF(AND(N20="Yes",S20="Yes"),"Yes","No")</f>
        <v/>
      </c>
      <c r="AC20">
        <f>IF(AND(N20="Yes",U20="Yes"),"Yes","No")</f>
        <v/>
      </c>
      <c r="AD20">
        <f>IF(AND(O20="Yes",R20="Yes"),"Yes","No")</f>
        <v/>
      </c>
      <c r="AE20">
        <f>IF(AND(O20="Yes",T20="Yes"),"Yes","No")</f>
        <v/>
      </c>
      <c r="AF20">
        <f>IF(AND(O20="Yes",S20="Yes"),"Yes","No")</f>
        <v/>
      </c>
      <c r="AG20">
        <f>IF(AND(O20="Yes",U20="Yes"),"Yes","No")</f>
        <v/>
      </c>
    </row>
    <row r="21">
      <c r="A21" t="inlineStr">
        <is>
          <t>2604567</t>
        </is>
      </c>
      <c r="B21">
        <f>IFERROR(INDEX(tbl_Districts_Clean[District_Name],MATCH(A21,tbl_Districts_Clean[NCES_ID],0)),"")</f>
        <v/>
      </c>
      <c r="C21">
        <f>IFERROR(INDEX(tbl_Districts_Clean[County],MATCH(A21,tbl_Districts_Clean[NCES_ID],0)),"")</f>
        <v/>
      </c>
      <c r="D21" t="inlineStr">
        <is>
          <t>51.0801</t>
        </is>
      </c>
      <c r="E21" t="inlineStr">
        <is>
          <t>Medical Careers</t>
        </is>
      </c>
      <c r="F21">
        <f>IFERROR(INDEX(tbl_CIP_SOC_Crosswalk[SOC_Code],MATCH(D21,tbl_CIP_SOC_Crosswalk[CIP_Code],0)),"")</f>
        <v/>
      </c>
      <c r="G21">
        <f>IFERROR(INDEX(tbl_CIP_SOC_Crosswalk[Pathway_Name],MATCH(D21,tbl_CIP_SOC_Crosswalk[CIP_Code],0)),"")</f>
        <v/>
      </c>
      <c r="H21">
        <f>IFERROR(SUMIFS(tbl_Labor_County[Median_Wage],tbl_Labor_County[County],C21,tbl_Labor_County[SOC_Code],F21),0)</f>
        <v/>
      </c>
      <c r="I21">
        <f>IFERROR(SUMIFS(tbl_Labor_County[Regional_Median_Wage],tbl_Labor_County[County],C21,tbl_Labor_County[SOC_Code],F21),0)</f>
        <v/>
      </c>
      <c r="J21">
        <f>IFERROR(SUMIFS(tbl_Labor_County[Annual_Openings_Current],tbl_Labor_County[County],C21,tbl_Labor_County[SOC_Code],F21),0)</f>
        <v/>
      </c>
      <c r="K21">
        <f>IFERROR(SUMIFS(tbl_Labor_County[Annual_Openings_10yr],tbl_Labor_County[County],C21,tbl_Labor_County[SOC_Code],F21),0)</f>
        <v/>
      </c>
      <c r="L21">
        <f>IF(I21=0,0,H21/I21)</f>
        <v/>
      </c>
      <c r="M21">
        <f>IF(L21&gt;=1.10,"Yes","No")</f>
        <v/>
      </c>
      <c r="N21">
        <f>IF(L21&gt;=1.20,"Yes","No")</f>
        <v/>
      </c>
      <c r="O21">
        <f>IF(L21&gt;=1.30,"Yes","No")</f>
        <v/>
      </c>
      <c r="P21">
        <f>IF(J21=0,999,COUNTIFS(tbl_Labor_County[County],C21,tbl_Labor_County[Annual_Openings_Current],"&gt;"&amp;J21)+1)</f>
        <v/>
      </c>
      <c r="Q21">
        <f>IF(K21=0,999,COUNTIFS(tbl_Labor_County[County],C21,tbl_Labor_County[Annual_Openings_10yr],"&gt;"&amp;K21)+1)</f>
        <v/>
      </c>
      <c r="R21">
        <f>IF(P21&lt;=15,"Yes","No")</f>
        <v/>
      </c>
      <c r="S21">
        <f>IF(P21&lt;=20,"Yes","No")</f>
        <v/>
      </c>
      <c r="T21">
        <f>IF(Q21&lt;=15,"Yes","No")</f>
        <v/>
      </c>
      <c r="U21">
        <f>IF(Q21&lt;=20,"Yes","No")</f>
        <v/>
      </c>
      <c r="V21">
        <f>IF(AND(M21="Yes",R21="Yes"),"Yes","No")</f>
        <v/>
      </c>
      <c r="W21">
        <f>IF(AND(M21="Yes",T21="Yes"),"Yes","No")</f>
        <v/>
      </c>
      <c r="X21">
        <f>IF(AND(M21="Yes",S21="Yes"),"Yes","No")</f>
        <v/>
      </c>
      <c r="Y21">
        <f>IF(AND(M21="Yes",U21="Yes"),"Yes","No")</f>
        <v/>
      </c>
      <c r="Z21">
        <f>IF(AND(N21="Yes",R21="Yes"),"Yes","No")</f>
        <v/>
      </c>
      <c r="AA21">
        <f>IF(AND(N21="Yes",T21="Yes"),"Yes","No")</f>
        <v/>
      </c>
      <c r="AB21">
        <f>IF(AND(N21="Yes",S21="Yes"),"Yes","No")</f>
        <v/>
      </c>
      <c r="AC21">
        <f>IF(AND(N21="Yes",U21="Yes"),"Yes","No")</f>
        <v/>
      </c>
      <c r="AD21">
        <f>IF(AND(O21="Yes",R21="Yes"),"Yes","No")</f>
        <v/>
      </c>
      <c r="AE21">
        <f>IF(AND(O21="Yes",T21="Yes"),"Yes","No")</f>
        <v/>
      </c>
      <c r="AF21">
        <f>IF(AND(O21="Yes",S21="Yes"),"Yes","No")</f>
        <v/>
      </c>
      <c r="AG21">
        <f>IF(AND(O21="Yes",U21="Yes"),"Yes","No")</f>
        <v/>
      </c>
    </row>
    <row r="22">
      <c r="A22" t="inlineStr">
        <is>
          <t>2604567</t>
        </is>
      </c>
      <c r="B22">
        <f>IFERROR(INDEX(tbl_Districts_Clean[District_Name],MATCH(A22,tbl_Districts_Clean[NCES_ID],0)),"")</f>
        <v/>
      </c>
      <c r="C22">
        <f>IFERROR(INDEX(tbl_Districts_Clean[County],MATCH(A22,tbl_Districts_Clean[NCES_ID],0)),"")</f>
        <v/>
      </c>
      <c r="D22" t="inlineStr">
        <is>
          <t>47.0201</t>
        </is>
      </c>
      <c r="E22" t="inlineStr">
        <is>
          <t>HVAC (ISD Shared)</t>
        </is>
      </c>
      <c r="F22">
        <f>IFERROR(INDEX(tbl_CIP_SOC_Crosswalk[SOC_Code],MATCH(D22,tbl_CIP_SOC_Crosswalk[CIP_Code],0)),"")</f>
        <v/>
      </c>
      <c r="G22">
        <f>IFERROR(INDEX(tbl_CIP_SOC_Crosswalk[Pathway_Name],MATCH(D22,tbl_CIP_SOC_Crosswalk[CIP_Code],0)),"")</f>
        <v/>
      </c>
      <c r="H22">
        <f>IFERROR(SUMIFS(tbl_Labor_County[Median_Wage],tbl_Labor_County[County],C22,tbl_Labor_County[SOC_Code],F22),0)</f>
        <v/>
      </c>
      <c r="I22">
        <f>IFERROR(SUMIFS(tbl_Labor_County[Regional_Median_Wage],tbl_Labor_County[County],C22,tbl_Labor_County[SOC_Code],F22),0)</f>
        <v/>
      </c>
      <c r="J22">
        <f>IFERROR(SUMIFS(tbl_Labor_County[Annual_Openings_Current],tbl_Labor_County[County],C22,tbl_Labor_County[SOC_Code],F22),0)</f>
        <v/>
      </c>
      <c r="K22">
        <f>IFERROR(SUMIFS(tbl_Labor_County[Annual_Openings_10yr],tbl_Labor_County[County],C22,tbl_Labor_County[SOC_Code],F22),0)</f>
        <v/>
      </c>
      <c r="L22">
        <f>IF(I22=0,0,H22/I22)</f>
        <v/>
      </c>
      <c r="M22">
        <f>IF(L22&gt;=1.10,"Yes","No")</f>
        <v/>
      </c>
      <c r="N22">
        <f>IF(L22&gt;=1.20,"Yes","No")</f>
        <v/>
      </c>
      <c r="O22">
        <f>IF(L22&gt;=1.30,"Yes","No")</f>
        <v/>
      </c>
      <c r="P22">
        <f>IF(J22=0,999,COUNTIFS(tbl_Labor_County[County],C22,tbl_Labor_County[Annual_Openings_Current],"&gt;"&amp;J22)+1)</f>
        <v/>
      </c>
      <c r="Q22">
        <f>IF(K22=0,999,COUNTIFS(tbl_Labor_County[County],C22,tbl_Labor_County[Annual_Openings_10yr],"&gt;"&amp;K22)+1)</f>
        <v/>
      </c>
      <c r="R22">
        <f>IF(P22&lt;=15,"Yes","No")</f>
        <v/>
      </c>
      <c r="S22">
        <f>IF(P22&lt;=20,"Yes","No")</f>
        <v/>
      </c>
      <c r="T22">
        <f>IF(Q22&lt;=15,"Yes","No")</f>
        <v/>
      </c>
      <c r="U22">
        <f>IF(Q22&lt;=20,"Yes","No")</f>
        <v/>
      </c>
      <c r="V22">
        <f>IF(AND(M22="Yes",R22="Yes"),"Yes","No")</f>
        <v/>
      </c>
      <c r="W22">
        <f>IF(AND(M22="Yes",T22="Yes"),"Yes","No")</f>
        <v/>
      </c>
      <c r="X22">
        <f>IF(AND(M22="Yes",S22="Yes"),"Yes","No")</f>
        <v/>
      </c>
      <c r="Y22">
        <f>IF(AND(M22="Yes",U22="Yes"),"Yes","No")</f>
        <v/>
      </c>
      <c r="Z22">
        <f>IF(AND(N22="Yes",R22="Yes"),"Yes","No")</f>
        <v/>
      </c>
      <c r="AA22">
        <f>IF(AND(N22="Yes",T22="Yes"),"Yes","No")</f>
        <v/>
      </c>
      <c r="AB22">
        <f>IF(AND(N22="Yes",S22="Yes"),"Yes","No")</f>
        <v/>
      </c>
      <c r="AC22">
        <f>IF(AND(N22="Yes",U22="Yes"),"Yes","No")</f>
        <v/>
      </c>
      <c r="AD22">
        <f>IF(AND(O22="Yes",R22="Yes"),"Yes","No")</f>
        <v/>
      </c>
      <c r="AE22">
        <f>IF(AND(O22="Yes",T22="Yes"),"Yes","No")</f>
        <v/>
      </c>
      <c r="AF22">
        <f>IF(AND(O22="Yes",S22="Yes"),"Yes","No")</f>
        <v/>
      </c>
      <c r="AG22">
        <f>IF(AND(O22="Yes",U22="Yes"),"Yes","No")</f>
        <v/>
      </c>
    </row>
    <row r="23">
      <c r="A23" t="inlineStr">
        <is>
          <t>2606789</t>
        </is>
      </c>
      <c r="B23">
        <f>IFERROR(INDEX(tbl_Districts_Clean[District_Name],MATCH(A23,tbl_Districts_Clean[NCES_ID],0)),"")</f>
        <v/>
      </c>
      <c r="C23">
        <f>IFERROR(INDEX(tbl_Districts_Clean[County],MATCH(A23,tbl_Districts_Clean[NCES_ID],0)),"")</f>
        <v/>
      </c>
      <c r="D23" t="inlineStr">
        <is>
          <t>01.0101</t>
        </is>
      </c>
      <c r="E23" t="inlineStr">
        <is>
          <t>Agriculture &amp; Natural Resources</t>
        </is>
      </c>
      <c r="F23">
        <f>IFERROR(INDEX(tbl_CIP_SOC_Crosswalk[SOC_Code],MATCH(D23,tbl_CIP_SOC_Crosswalk[CIP_Code],0)),"")</f>
        <v/>
      </c>
      <c r="G23">
        <f>IFERROR(INDEX(tbl_CIP_SOC_Crosswalk[Pathway_Name],MATCH(D23,tbl_CIP_SOC_Crosswalk[CIP_Code],0)),"")</f>
        <v/>
      </c>
      <c r="H23">
        <f>IFERROR(SUMIFS(tbl_Labor_County[Median_Wage],tbl_Labor_County[County],C23,tbl_Labor_County[SOC_Code],F23),0)</f>
        <v/>
      </c>
      <c r="I23">
        <f>IFERROR(SUMIFS(tbl_Labor_County[Regional_Median_Wage],tbl_Labor_County[County],C23,tbl_Labor_County[SOC_Code],F23),0)</f>
        <v/>
      </c>
      <c r="J23">
        <f>IFERROR(SUMIFS(tbl_Labor_County[Annual_Openings_Current],tbl_Labor_County[County],C23,tbl_Labor_County[SOC_Code],F23),0)</f>
        <v/>
      </c>
      <c r="K23">
        <f>IFERROR(SUMIFS(tbl_Labor_County[Annual_Openings_10yr],tbl_Labor_County[County],C23,tbl_Labor_County[SOC_Code],F23),0)</f>
        <v/>
      </c>
      <c r="L23">
        <f>IF(I23=0,0,H23/I23)</f>
        <v/>
      </c>
      <c r="M23">
        <f>IF(L23&gt;=1.10,"Yes","No")</f>
        <v/>
      </c>
      <c r="N23">
        <f>IF(L23&gt;=1.20,"Yes","No")</f>
        <v/>
      </c>
      <c r="O23">
        <f>IF(L23&gt;=1.30,"Yes","No")</f>
        <v/>
      </c>
      <c r="P23">
        <f>IF(J23=0,999,COUNTIFS(tbl_Labor_County[County],C23,tbl_Labor_County[Annual_Openings_Current],"&gt;"&amp;J23)+1)</f>
        <v/>
      </c>
      <c r="Q23">
        <f>IF(K23=0,999,COUNTIFS(tbl_Labor_County[County],C23,tbl_Labor_County[Annual_Openings_10yr],"&gt;"&amp;K23)+1)</f>
        <v/>
      </c>
      <c r="R23">
        <f>IF(P23&lt;=15,"Yes","No")</f>
        <v/>
      </c>
      <c r="S23">
        <f>IF(P23&lt;=20,"Yes","No")</f>
        <v/>
      </c>
      <c r="T23">
        <f>IF(Q23&lt;=15,"Yes","No")</f>
        <v/>
      </c>
      <c r="U23">
        <f>IF(Q23&lt;=20,"Yes","No")</f>
        <v/>
      </c>
      <c r="V23">
        <f>IF(AND(M23="Yes",R23="Yes"),"Yes","No")</f>
        <v/>
      </c>
      <c r="W23">
        <f>IF(AND(M23="Yes",T23="Yes"),"Yes","No")</f>
        <v/>
      </c>
      <c r="X23">
        <f>IF(AND(M23="Yes",S23="Yes"),"Yes","No")</f>
        <v/>
      </c>
      <c r="Y23">
        <f>IF(AND(M23="Yes",U23="Yes"),"Yes","No")</f>
        <v/>
      </c>
      <c r="Z23">
        <f>IF(AND(N23="Yes",R23="Yes"),"Yes","No")</f>
        <v/>
      </c>
      <c r="AA23">
        <f>IF(AND(N23="Yes",T23="Yes"),"Yes","No")</f>
        <v/>
      </c>
      <c r="AB23">
        <f>IF(AND(N23="Yes",S23="Yes"),"Yes","No")</f>
        <v/>
      </c>
      <c r="AC23">
        <f>IF(AND(N23="Yes",U23="Yes"),"Yes","No")</f>
        <v/>
      </c>
      <c r="AD23">
        <f>IF(AND(O23="Yes",R23="Yes"),"Yes","No")</f>
        <v/>
      </c>
      <c r="AE23">
        <f>IF(AND(O23="Yes",T23="Yes"),"Yes","No")</f>
        <v/>
      </c>
      <c r="AF23">
        <f>IF(AND(O23="Yes",S23="Yes"),"Yes","No")</f>
        <v/>
      </c>
      <c r="AG23">
        <f>IF(AND(O23="Yes",U23="Yes"),"Yes","No")</f>
        <v/>
      </c>
    </row>
    <row r="24">
      <c r="A24" t="inlineStr">
        <is>
          <t>2606789</t>
        </is>
      </c>
      <c r="B24">
        <f>IFERROR(INDEX(tbl_Districts_Clean[District_Name],MATCH(A24,tbl_Districts_Clean[NCES_ID],0)),"")</f>
        <v/>
      </c>
      <c r="C24">
        <f>IFERROR(INDEX(tbl_Districts_Clean[County],MATCH(A24,tbl_Districts_Clean[NCES_ID],0)),"")</f>
        <v/>
      </c>
      <c r="D24" t="inlineStr">
        <is>
          <t>47.0605</t>
        </is>
      </c>
      <c r="E24" t="inlineStr">
        <is>
          <t>Welding (ISD Shared)</t>
        </is>
      </c>
      <c r="F24">
        <f>IFERROR(INDEX(tbl_CIP_SOC_Crosswalk[SOC_Code],MATCH(D24,tbl_CIP_SOC_Crosswalk[CIP_Code],0)),"")</f>
        <v/>
      </c>
      <c r="G24">
        <f>IFERROR(INDEX(tbl_CIP_SOC_Crosswalk[Pathway_Name],MATCH(D24,tbl_CIP_SOC_Crosswalk[CIP_Code],0)),"")</f>
        <v/>
      </c>
      <c r="H24">
        <f>IFERROR(SUMIFS(tbl_Labor_County[Median_Wage],tbl_Labor_County[County],C24,tbl_Labor_County[SOC_Code],F24),0)</f>
        <v/>
      </c>
      <c r="I24">
        <f>IFERROR(SUMIFS(tbl_Labor_County[Regional_Median_Wage],tbl_Labor_County[County],C24,tbl_Labor_County[SOC_Code],F24),0)</f>
        <v/>
      </c>
      <c r="J24">
        <f>IFERROR(SUMIFS(tbl_Labor_County[Annual_Openings_Current],tbl_Labor_County[County],C24,tbl_Labor_County[SOC_Code],F24),0)</f>
        <v/>
      </c>
      <c r="K24">
        <f>IFERROR(SUMIFS(tbl_Labor_County[Annual_Openings_10yr],tbl_Labor_County[County],C24,tbl_Labor_County[SOC_Code],F24),0)</f>
        <v/>
      </c>
      <c r="L24">
        <f>IF(I24=0,0,H24/I24)</f>
        <v/>
      </c>
      <c r="M24">
        <f>IF(L24&gt;=1.10,"Yes","No")</f>
        <v/>
      </c>
      <c r="N24">
        <f>IF(L24&gt;=1.20,"Yes","No")</f>
        <v/>
      </c>
      <c r="O24">
        <f>IF(L24&gt;=1.30,"Yes","No")</f>
        <v/>
      </c>
      <c r="P24">
        <f>IF(J24=0,999,COUNTIFS(tbl_Labor_County[County],C24,tbl_Labor_County[Annual_Openings_Current],"&gt;"&amp;J24)+1)</f>
        <v/>
      </c>
      <c r="Q24">
        <f>IF(K24=0,999,COUNTIFS(tbl_Labor_County[County],C24,tbl_Labor_County[Annual_Openings_10yr],"&gt;"&amp;K24)+1)</f>
        <v/>
      </c>
      <c r="R24">
        <f>IF(P24&lt;=15,"Yes","No")</f>
        <v/>
      </c>
      <c r="S24">
        <f>IF(P24&lt;=20,"Yes","No")</f>
        <v/>
      </c>
      <c r="T24">
        <f>IF(Q24&lt;=15,"Yes","No")</f>
        <v/>
      </c>
      <c r="U24">
        <f>IF(Q24&lt;=20,"Yes","No")</f>
        <v/>
      </c>
      <c r="V24">
        <f>IF(AND(M24="Yes",R24="Yes"),"Yes","No")</f>
        <v/>
      </c>
      <c r="W24">
        <f>IF(AND(M24="Yes",T24="Yes"),"Yes","No")</f>
        <v/>
      </c>
      <c r="X24">
        <f>IF(AND(M24="Yes",S24="Yes"),"Yes","No")</f>
        <v/>
      </c>
      <c r="Y24">
        <f>IF(AND(M24="Yes",U24="Yes"),"Yes","No")</f>
        <v/>
      </c>
      <c r="Z24">
        <f>IF(AND(N24="Yes",R24="Yes"),"Yes","No")</f>
        <v/>
      </c>
      <c r="AA24">
        <f>IF(AND(N24="Yes",T24="Yes"),"Yes","No")</f>
        <v/>
      </c>
      <c r="AB24">
        <f>IF(AND(N24="Yes",S24="Yes"),"Yes","No")</f>
        <v/>
      </c>
      <c r="AC24">
        <f>IF(AND(N24="Yes",U24="Yes"),"Yes","No")</f>
        <v/>
      </c>
      <c r="AD24">
        <f>IF(AND(O24="Yes",R24="Yes"),"Yes","No")</f>
        <v/>
      </c>
      <c r="AE24">
        <f>IF(AND(O24="Yes",T24="Yes"),"Yes","No")</f>
        <v/>
      </c>
      <c r="AF24">
        <f>IF(AND(O24="Yes",S24="Yes"),"Yes","No")</f>
        <v/>
      </c>
      <c r="AG24">
        <f>IF(AND(O24="Yes",U24="Yes"),"Yes","No")</f>
        <v/>
      </c>
    </row>
    <row r="25">
      <c r="A25" t="inlineStr">
        <is>
          <t>2607890</t>
        </is>
      </c>
      <c r="B25">
        <f>IFERROR(INDEX(tbl_Districts_Clean[District_Name],MATCH(A25,tbl_Districts_Clean[NCES_ID],0)),"")</f>
        <v/>
      </c>
      <c r="C25">
        <f>IFERROR(INDEX(tbl_Districts_Clean[County],MATCH(A25,tbl_Districts_Clean[NCES_ID],0)),"")</f>
        <v/>
      </c>
      <c r="D25" t="inlineStr">
        <is>
          <t>47.0605</t>
        </is>
      </c>
      <c r="E25" t="inlineStr">
        <is>
          <t>Welding (ISD Shared)</t>
        </is>
      </c>
      <c r="F25">
        <f>IFERROR(INDEX(tbl_CIP_SOC_Crosswalk[SOC_Code],MATCH(D25,tbl_CIP_SOC_Crosswalk[CIP_Code],0)),"")</f>
        <v/>
      </c>
      <c r="G25">
        <f>IFERROR(INDEX(tbl_CIP_SOC_Crosswalk[Pathway_Name],MATCH(D25,tbl_CIP_SOC_Crosswalk[CIP_Code],0)),"")</f>
        <v/>
      </c>
      <c r="H25">
        <f>IFERROR(SUMIFS(tbl_Labor_County[Median_Wage],tbl_Labor_County[County],C25,tbl_Labor_County[SOC_Code],F25),0)</f>
        <v/>
      </c>
      <c r="I25">
        <f>IFERROR(SUMIFS(tbl_Labor_County[Regional_Median_Wage],tbl_Labor_County[County],C25,tbl_Labor_County[SOC_Code],F25),0)</f>
        <v/>
      </c>
      <c r="J25">
        <f>IFERROR(SUMIFS(tbl_Labor_County[Annual_Openings_Current],tbl_Labor_County[County],C25,tbl_Labor_County[SOC_Code],F25),0)</f>
        <v/>
      </c>
      <c r="K25">
        <f>IFERROR(SUMIFS(tbl_Labor_County[Annual_Openings_10yr],tbl_Labor_County[County],C25,tbl_Labor_County[SOC_Code],F25),0)</f>
        <v/>
      </c>
      <c r="L25">
        <f>IF(I25=0,0,H25/I25)</f>
        <v/>
      </c>
      <c r="M25">
        <f>IF(L25&gt;=1.10,"Yes","No")</f>
        <v/>
      </c>
      <c r="N25">
        <f>IF(L25&gt;=1.20,"Yes","No")</f>
        <v/>
      </c>
      <c r="O25">
        <f>IF(L25&gt;=1.30,"Yes","No")</f>
        <v/>
      </c>
      <c r="P25">
        <f>IF(J25=0,999,COUNTIFS(tbl_Labor_County[County],C25,tbl_Labor_County[Annual_Openings_Current],"&gt;"&amp;J25)+1)</f>
        <v/>
      </c>
      <c r="Q25">
        <f>IF(K25=0,999,COUNTIFS(tbl_Labor_County[County],C25,tbl_Labor_County[Annual_Openings_10yr],"&gt;"&amp;K25)+1)</f>
        <v/>
      </c>
      <c r="R25">
        <f>IF(P25&lt;=15,"Yes","No")</f>
        <v/>
      </c>
      <c r="S25">
        <f>IF(P25&lt;=20,"Yes","No")</f>
        <v/>
      </c>
      <c r="T25">
        <f>IF(Q25&lt;=15,"Yes","No")</f>
        <v/>
      </c>
      <c r="U25">
        <f>IF(Q25&lt;=20,"Yes","No")</f>
        <v/>
      </c>
      <c r="V25">
        <f>IF(AND(M25="Yes",R25="Yes"),"Yes","No")</f>
        <v/>
      </c>
      <c r="W25">
        <f>IF(AND(M25="Yes",T25="Yes"),"Yes","No")</f>
        <v/>
      </c>
      <c r="X25">
        <f>IF(AND(M25="Yes",S25="Yes"),"Yes","No")</f>
        <v/>
      </c>
      <c r="Y25">
        <f>IF(AND(M25="Yes",U25="Yes"),"Yes","No")</f>
        <v/>
      </c>
      <c r="Z25">
        <f>IF(AND(N25="Yes",R25="Yes"),"Yes","No")</f>
        <v/>
      </c>
      <c r="AA25">
        <f>IF(AND(N25="Yes",T25="Yes"),"Yes","No")</f>
        <v/>
      </c>
      <c r="AB25">
        <f>IF(AND(N25="Yes",S25="Yes"),"Yes","No")</f>
        <v/>
      </c>
      <c r="AC25">
        <f>IF(AND(N25="Yes",U25="Yes"),"Yes","No")</f>
        <v/>
      </c>
      <c r="AD25">
        <f>IF(AND(O25="Yes",R25="Yes"),"Yes","No")</f>
        <v/>
      </c>
      <c r="AE25">
        <f>IF(AND(O25="Yes",T25="Yes"),"Yes","No")</f>
        <v/>
      </c>
      <c r="AF25">
        <f>IF(AND(O25="Yes",S25="Yes"),"Yes","No")</f>
        <v/>
      </c>
      <c r="AG25">
        <f>IF(AND(O25="Yes",U25="Yes"),"Yes","No")</f>
        <v/>
      </c>
    </row>
    <row r="26">
      <c r="A26" t="inlineStr">
        <is>
          <t>2607890</t>
        </is>
      </c>
      <c r="B26">
        <f>IFERROR(INDEX(tbl_Districts_Clean[District_Name],MATCH(A26,tbl_Districts_Clean[NCES_ID],0)),"")</f>
        <v/>
      </c>
      <c r="C26">
        <f>IFERROR(INDEX(tbl_Districts_Clean[County],MATCH(A26,tbl_Districts_Clean[NCES_ID],0)),"")</f>
        <v/>
      </c>
      <c r="D26" t="inlineStr">
        <is>
          <t>47.0201</t>
        </is>
      </c>
      <c r="E26" t="inlineStr">
        <is>
          <t>Building Trades</t>
        </is>
      </c>
      <c r="F26">
        <f>IFERROR(INDEX(tbl_CIP_SOC_Crosswalk[SOC_Code],MATCH(D26,tbl_CIP_SOC_Crosswalk[CIP_Code],0)),"")</f>
        <v/>
      </c>
      <c r="G26">
        <f>IFERROR(INDEX(tbl_CIP_SOC_Crosswalk[Pathway_Name],MATCH(D26,tbl_CIP_SOC_Crosswalk[CIP_Code],0)),"")</f>
        <v/>
      </c>
      <c r="H26">
        <f>IFERROR(SUMIFS(tbl_Labor_County[Median_Wage],tbl_Labor_County[County],C26,tbl_Labor_County[SOC_Code],F26),0)</f>
        <v/>
      </c>
      <c r="I26">
        <f>IFERROR(SUMIFS(tbl_Labor_County[Regional_Median_Wage],tbl_Labor_County[County],C26,tbl_Labor_County[SOC_Code],F26),0)</f>
        <v/>
      </c>
      <c r="J26">
        <f>IFERROR(SUMIFS(tbl_Labor_County[Annual_Openings_Current],tbl_Labor_County[County],C26,tbl_Labor_County[SOC_Code],F26),0)</f>
        <v/>
      </c>
      <c r="K26">
        <f>IFERROR(SUMIFS(tbl_Labor_County[Annual_Openings_10yr],tbl_Labor_County[County],C26,tbl_Labor_County[SOC_Code],F26),0)</f>
        <v/>
      </c>
      <c r="L26">
        <f>IF(I26=0,0,H26/I26)</f>
        <v/>
      </c>
      <c r="M26">
        <f>IF(L26&gt;=1.10,"Yes","No")</f>
        <v/>
      </c>
      <c r="N26">
        <f>IF(L26&gt;=1.20,"Yes","No")</f>
        <v/>
      </c>
      <c r="O26">
        <f>IF(L26&gt;=1.30,"Yes","No")</f>
        <v/>
      </c>
      <c r="P26">
        <f>IF(J26=0,999,COUNTIFS(tbl_Labor_County[County],C26,tbl_Labor_County[Annual_Openings_Current],"&gt;"&amp;J26)+1)</f>
        <v/>
      </c>
      <c r="Q26">
        <f>IF(K26=0,999,COUNTIFS(tbl_Labor_County[County],C26,tbl_Labor_County[Annual_Openings_10yr],"&gt;"&amp;K26)+1)</f>
        <v/>
      </c>
      <c r="R26">
        <f>IF(P26&lt;=15,"Yes","No")</f>
        <v/>
      </c>
      <c r="S26">
        <f>IF(P26&lt;=20,"Yes","No")</f>
        <v/>
      </c>
      <c r="T26">
        <f>IF(Q26&lt;=15,"Yes","No")</f>
        <v/>
      </c>
      <c r="U26">
        <f>IF(Q26&lt;=20,"Yes","No")</f>
        <v/>
      </c>
      <c r="V26">
        <f>IF(AND(M26="Yes",R26="Yes"),"Yes","No")</f>
        <v/>
      </c>
      <c r="W26">
        <f>IF(AND(M26="Yes",T26="Yes"),"Yes","No")</f>
        <v/>
      </c>
      <c r="X26">
        <f>IF(AND(M26="Yes",S26="Yes"),"Yes","No")</f>
        <v/>
      </c>
      <c r="Y26">
        <f>IF(AND(M26="Yes",U26="Yes"),"Yes","No")</f>
        <v/>
      </c>
      <c r="Z26">
        <f>IF(AND(N26="Yes",R26="Yes"),"Yes","No")</f>
        <v/>
      </c>
      <c r="AA26">
        <f>IF(AND(N26="Yes",T26="Yes"),"Yes","No")</f>
        <v/>
      </c>
      <c r="AB26">
        <f>IF(AND(N26="Yes",S26="Yes"),"Yes","No")</f>
        <v/>
      </c>
      <c r="AC26">
        <f>IF(AND(N26="Yes",U26="Yes"),"Yes","No")</f>
        <v/>
      </c>
      <c r="AD26">
        <f>IF(AND(O26="Yes",R26="Yes"),"Yes","No")</f>
        <v/>
      </c>
      <c r="AE26">
        <f>IF(AND(O26="Yes",T26="Yes"),"Yes","No")</f>
        <v/>
      </c>
      <c r="AF26">
        <f>IF(AND(O26="Yes",S26="Yes"),"Yes","No")</f>
        <v/>
      </c>
      <c r="AG26">
        <f>IF(AND(O26="Yes",U26="Yes"),"Yes","No")</f>
        <v/>
      </c>
    </row>
    <row r="27">
      <c r="A27" t="inlineStr">
        <is>
          <t>2608901</t>
        </is>
      </c>
      <c r="B27">
        <f>IFERROR(INDEX(tbl_Districts_Clean[District_Name],MATCH(A27,tbl_Districts_Clean[NCES_ID],0)),"")</f>
        <v/>
      </c>
      <c r="C27">
        <f>IFERROR(INDEX(tbl_Districts_Clean[County],MATCH(A27,tbl_Districts_Clean[NCES_ID],0)),"")</f>
        <v/>
      </c>
      <c r="D27" t="inlineStr">
        <is>
          <t>01.0101</t>
        </is>
      </c>
      <c r="E27" t="inlineStr">
        <is>
          <t>Natural Resources</t>
        </is>
      </c>
      <c r="F27">
        <f>IFERROR(INDEX(tbl_CIP_SOC_Crosswalk[SOC_Code],MATCH(D27,tbl_CIP_SOC_Crosswalk[CIP_Code],0)),"")</f>
        <v/>
      </c>
      <c r="G27">
        <f>IFERROR(INDEX(tbl_CIP_SOC_Crosswalk[Pathway_Name],MATCH(D27,tbl_CIP_SOC_Crosswalk[CIP_Code],0)),"")</f>
        <v/>
      </c>
      <c r="H27">
        <f>IFERROR(SUMIFS(tbl_Labor_County[Median_Wage],tbl_Labor_County[County],C27,tbl_Labor_County[SOC_Code],F27),0)</f>
        <v/>
      </c>
      <c r="I27">
        <f>IFERROR(SUMIFS(tbl_Labor_County[Regional_Median_Wage],tbl_Labor_County[County],C27,tbl_Labor_County[SOC_Code],F27),0)</f>
        <v/>
      </c>
      <c r="J27">
        <f>IFERROR(SUMIFS(tbl_Labor_County[Annual_Openings_Current],tbl_Labor_County[County],C27,tbl_Labor_County[SOC_Code],F27),0)</f>
        <v/>
      </c>
      <c r="K27">
        <f>IFERROR(SUMIFS(tbl_Labor_County[Annual_Openings_10yr],tbl_Labor_County[County],C27,tbl_Labor_County[SOC_Code],F27),0)</f>
        <v/>
      </c>
      <c r="L27">
        <f>IF(I27=0,0,H27/I27)</f>
        <v/>
      </c>
      <c r="M27">
        <f>IF(L27&gt;=1.10,"Yes","No")</f>
        <v/>
      </c>
      <c r="N27">
        <f>IF(L27&gt;=1.20,"Yes","No")</f>
        <v/>
      </c>
      <c r="O27">
        <f>IF(L27&gt;=1.30,"Yes","No")</f>
        <v/>
      </c>
      <c r="P27">
        <f>IF(J27=0,999,COUNTIFS(tbl_Labor_County[County],C27,tbl_Labor_County[Annual_Openings_Current],"&gt;"&amp;J27)+1)</f>
        <v/>
      </c>
      <c r="Q27">
        <f>IF(K27=0,999,COUNTIFS(tbl_Labor_County[County],C27,tbl_Labor_County[Annual_Openings_10yr],"&gt;"&amp;K27)+1)</f>
        <v/>
      </c>
      <c r="R27">
        <f>IF(P27&lt;=15,"Yes","No")</f>
        <v/>
      </c>
      <c r="S27">
        <f>IF(P27&lt;=20,"Yes","No")</f>
        <v/>
      </c>
      <c r="T27">
        <f>IF(Q27&lt;=15,"Yes","No")</f>
        <v/>
      </c>
      <c r="U27">
        <f>IF(Q27&lt;=20,"Yes","No")</f>
        <v/>
      </c>
      <c r="V27">
        <f>IF(AND(M27="Yes",R27="Yes"),"Yes","No")</f>
        <v/>
      </c>
      <c r="W27">
        <f>IF(AND(M27="Yes",T27="Yes"),"Yes","No")</f>
        <v/>
      </c>
      <c r="X27">
        <f>IF(AND(M27="Yes",S27="Yes"),"Yes","No")</f>
        <v/>
      </c>
      <c r="Y27">
        <f>IF(AND(M27="Yes",U27="Yes"),"Yes","No")</f>
        <v/>
      </c>
      <c r="Z27">
        <f>IF(AND(N27="Yes",R27="Yes"),"Yes","No")</f>
        <v/>
      </c>
      <c r="AA27">
        <f>IF(AND(N27="Yes",T27="Yes"),"Yes","No")</f>
        <v/>
      </c>
      <c r="AB27">
        <f>IF(AND(N27="Yes",S27="Yes"),"Yes","No")</f>
        <v/>
      </c>
      <c r="AC27">
        <f>IF(AND(N27="Yes",U27="Yes"),"Yes","No")</f>
        <v/>
      </c>
      <c r="AD27">
        <f>IF(AND(O27="Yes",R27="Yes"),"Yes","No")</f>
        <v/>
      </c>
      <c r="AE27">
        <f>IF(AND(O27="Yes",T27="Yes"),"Yes","No")</f>
        <v/>
      </c>
      <c r="AF27">
        <f>IF(AND(O27="Yes",S27="Yes"),"Yes","No")</f>
        <v/>
      </c>
      <c r="AG27">
        <f>IF(AND(O27="Yes",U27="Yes"),"Yes","No")</f>
        <v/>
      </c>
    </row>
    <row r="28">
      <c r="A28" t="inlineStr">
        <is>
          <t>2608901</t>
        </is>
      </c>
      <c r="B28">
        <f>IFERROR(INDEX(tbl_Districts_Clean[District_Name],MATCH(A28,tbl_Districts_Clean[NCES_ID],0)),"")</f>
        <v/>
      </c>
      <c r="C28">
        <f>IFERROR(INDEX(tbl_Districts_Clean[County],MATCH(A28,tbl_Districts_Clean[NCES_ID],0)),"")</f>
        <v/>
      </c>
      <c r="D28" t="inlineStr">
        <is>
          <t>47.0605</t>
        </is>
      </c>
      <c r="E28" t="inlineStr">
        <is>
          <t>Manufacturing Technology</t>
        </is>
      </c>
      <c r="F28">
        <f>IFERROR(INDEX(tbl_CIP_SOC_Crosswalk[SOC_Code],MATCH(D28,tbl_CIP_SOC_Crosswalk[CIP_Code],0)),"")</f>
        <v/>
      </c>
      <c r="G28">
        <f>IFERROR(INDEX(tbl_CIP_SOC_Crosswalk[Pathway_Name],MATCH(D28,tbl_CIP_SOC_Crosswalk[CIP_Code],0)),"")</f>
        <v/>
      </c>
      <c r="H28">
        <f>IFERROR(SUMIFS(tbl_Labor_County[Median_Wage],tbl_Labor_County[County],C28,tbl_Labor_County[SOC_Code],F28),0)</f>
        <v/>
      </c>
      <c r="I28">
        <f>IFERROR(SUMIFS(tbl_Labor_County[Regional_Median_Wage],tbl_Labor_County[County],C28,tbl_Labor_County[SOC_Code],F28),0)</f>
        <v/>
      </c>
      <c r="J28">
        <f>IFERROR(SUMIFS(tbl_Labor_County[Annual_Openings_Current],tbl_Labor_County[County],C28,tbl_Labor_County[SOC_Code],F28),0)</f>
        <v/>
      </c>
      <c r="K28">
        <f>IFERROR(SUMIFS(tbl_Labor_County[Annual_Openings_10yr],tbl_Labor_County[County],C28,tbl_Labor_County[SOC_Code],F28),0)</f>
        <v/>
      </c>
      <c r="L28">
        <f>IF(I28=0,0,H28/I28)</f>
        <v/>
      </c>
      <c r="M28">
        <f>IF(L28&gt;=1.10,"Yes","No")</f>
        <v/>
      </c>
      <c r="N28">
        <f>IF(L28&gt;=1.20,"Yes","No")</f>
        <v/>
      </c>
      <c r="O28">
        <f>IF(L28&gt;=1.30,"Yes","No")</f>
        <v/>
      </c>
      <c r="P28">
        <f>IF(J28=0,999,COUNTIFS(tbl_Labor_County[County],C28,tbl_Labor_County[Annual_Openings_Current],"&gt;"&amp;J28)+1)</f>
        <v/>
      </c>
      <c r="Q28">
        <f>IF(K28=0,999,COUNTIFS(tbl_Labor_County[County],C28,tbl_Labor_County[Annual_Openings_10yr],"&gt;"&amp;K28)+1)</f>
        <v/>
      </c>
      <c r="R28">
        <f>IF(P28&lt;=15,"Yes","No")</f>
        <v/>
      </c>
      <c r="S28">
        <f>IF(P28&lt;=20,"Yes","No")</f>
        <v/>
      </c>
      <c r="T28">
        <f>IF(Q28&lt;=15,"Yes","No")</f>
        <v/>
      </c>
      <c r="U28">
        <f>IF(Q28&lt;=20,"Yes","No")</f>
        <v/>
      </c>
      <c r="V28">
        <f>IF(AND(M28="Yes",R28="Yes"),"Yes","No")</f>
        <v/>
      </c>
      <c r="W28">
        <f>IF(AND(M28="Yes",T28="Yes"),"Yes","No")</f>
        <v/>
      </c>
      <c r="X28">
        <f>IF(AND(M28="Yes",S28="Yes"),"Yes","No")</f>
        <v/>
      </c>
      <c r="Y28">
        <f>IF(AND(M28="Yes",U28="Yes"),"Yes","No")</f>
        <v/>
      </c>
      <c r="Z28">
        <f>IF(AND(N28="Yes",R28="Yes"),"Yes","No")</f>
        <v/>
      </c>
      <c r="AA28">
        <f>IF(AND(N28="Yes",T28="Yes"),"Yes","No")</f>
        <v/>
      </c>
      <c r="AB28">
        <f>IF(AND(N28="Yes",S28="Yes"),"Yes","No")</f>
        <v/>
      </c>
      <c r="AC28">
        <f>IF(AND(N28="Yes",U28="Yes"),"Yes","No")</f>
        <v/>
      </c>
      <c r="AD28">
        <f>IF(AND(O28="Yes",R28="Yes"),"Yes","No")</f>
        <v/>
      </c>
      <c r="AE28">
        <f>IF(AND(O28="Yes",T28="Yes"),"Yes","No")</f>
        <v/>
      </c>
      <c r="AF28">
        <f>IF(AND(O28="Yes",S28="Yes"),"Yes","No")</f>
        <v/>
      </c>
      <c r="AG28">
        <f>IF(AND(O28="Yes",U28="Yes"),"Yes","No")</f>
        <v/>
      </c>
    </row>
    <row r="29">
      <c r="A29" t="inlineStr">
        <is>
          <t>2600234</t>
        </is>
      </c>
      <c r="B29">
        <f>IFERROR(INDEX(tbl_Districts_Clean[District_Name],MATCH(A29,tbl_Districts_Clean[NCES_ID],0)),"")</f>
        <v/>
      </c>
      <c r="C29">
        <f>IFERROR(INDEX(tbl_Districts_Clean[County],MATCH(A29,tbl_Districts_Clean[NCES_ID],0)),"")</f>
        <v/>
      </c>
      <c r="D29" t="inlineStr">
        <is>
          <t>51.0801</t>
        </is>
      </c>
      <c r="E29" t="inlineStr">
        <is>
          <t>Health Sciences</t>
        </is>
      </c>
      <c r="F29">
        <f>IFERROR(INDEX(tbl_CIP_SOC_Crosswalk[SOC_Code],MATCH(D29,tbl_CIP_SOC_Crosswalk[CIP_Code],0)),"")</f>
        <v/>
      </c>
      <c r="G29">
        <f>IFERROR(INDEX(tbl_CIP_SOC_Crosswalk[Pathway_Name],MATCH(D29,tbl_CIP_SOC_Crosswalk[CIP_Code],0)),"")</f>
        <v/>
      </c>
      <c r="H29">
        <f>IFERROR(SUMIFS(tbl_Labor_County[Median_Wage],tbl_Labor_County[County],C29,tbl_Labor_County[SOC_Code],F29),0)</f>
        <v/>
      </c>
      <c r="I29">
        <f>IFERROR(SUMIFS(tbl_Labor_County[Regional_Median_Wage],tbl_Labor_County[County],C29,tbl_Labor_County[SOC_Code],F29),0)</f>
        <v/>
      </c>
      <c r="J29">
        <f>IFERROR(SUMIFS(tbl_Labor_County[Annual_Openings_Current],tbl_Labor_County[County],C29,tbl_Labor_County[SOC_Code],F29),0)</f>
        <v/>
      </c>
      <c r="K29">
        <f>IFERROR(SUMIFS(tbl_Labor_County[Annual_Openings_10yr],tbl_Labor_County[County],C29,tbl_Labor_County[SOC_Code],F29),0)</f>
        <v/>
      </c>
      <c r="L29">
        <f>IF(I29=0,0,H29/I29)</f>
        <v/>
      </c>
      <c r="M29">
        <f>IF(L29&gt;=1.10,"Yes","No")</f>
        <v/>
      </c>
      <c r="N29">
        <f>IF(L29&gt;=1.20,"Yes","No")</f>
        <v/>
      </c>
      <c r="O29">
        <f>IF(L29&gt;=1.30,"Yes","No")</f>
        <v/>
      </c>
      <c r="P29">
        <f>IF(J29=0,999,COUNTIFS(tbl_Labor_County[County],C29,tbl_Labor_County[Annual_Openings_Current],"&gt;"&amp;J29)+1)</f>
        <v/>
      </c>
      <c r="Q29">
        <f>IF(K29=0,999,COUNTIFS(tbl_Labor_County[County],C29,tbl_Labor_County[Annual_Openings_10yr],"&gt;"&amp;K29)+1)</f>
        <v/>
      </c>
      <c r="R29">
        <f>IF(P29&lt;=15,"Yes","No")</f>
        <v/>
      </c>
      <c r="S29">
        <f>IF(P29&lt;=20,"Yes","No")</f>
        <v/>
      </c>
      <c r="T29">
        <f>IF(Q29&lt;=15,"Yes","No")</f>
        <v/>
      </c>
      <c r="U29">
        <f>IF(Q29&lt;=20,"Yes","No")</f>
        <v/>
      </c>
      <c r="V29">
        <f>IF(AND(M29="Yes",R29="Yes"),"Yes","No")</f>
        <v/>
      </c>
      <c r="W29">
        <f>IF(AND(M29="Yes",T29="Yes"),"Yes","No")</f>
        <v/>
      </c>
      <c r="X29">
        <f>IF(AND(M29="Yes",S29="Yes"),"Yes","No")</f>
        <v/>
      </c>
      <c r="Y29">
        <f>IF(AND(M29="Yes",U29="Yes"),"Yes","No")</f>
        <v/>
      </c>
      <c r="Z29">
        <f>IF(AND(N29="Yes",R29="Yes"),"Yes","No")</f>
        <v/>
      </c>
      <c r="AA29">
        <f>IF(AND(N29="Yes",T29="Yes"),"Yes","No")</f>
        <v/>
      </c>
      <c r="AB29">
        <f>IF(AND(N29="Yes",S29="Yes"),"Yes","No")</f>
        <v/>
      </c>
      <c r="AC29">
        <f>IF(AND(N29="Yes",U29="Yes"),"Yes","No")</f>
        <v/>
      </c>
      <c r="AD29">
        <f>IF(AND(O29="Yes",R29="Yes"),"Yes","No")</f>
        <v/>
      </c>
      <c r="AE29">
        <f>IF(AND(O29="Yes",T29="Yes"),"Yes","No")</f>
        <v/>
      </c>
      <c r="AF29">
        <f>IF(AND(O29="Yes",S29="Yes"),"Yes","No")</f>
        <v/>
      </c>
      <c r="AG29">
        <f>IF(AND(O29="Yes",U29="Yes"),"Yes","No")</f>
        <v/>
      </c>
    </row>
    <row r="30">
      <c r="A30" t="inlineStr">
        <is>
          <t>2600234</t>
        </is>
      </c>
      <c r="B30">
        <f>IFERROR(INDEX(tbl_Districts_Clean[District_Name],MATCH(A30,tbl_Districts_Clean[NCES_ID],0)),"")</f>
        <v/>
      </c>
      <c r="C30">
        <f>IFERROR(INDEX(tbl_Districts_Clean[County],MATCH(A30,tbl_Districts_Clean[NCES_ID],0)),"")</f>
        <v/>
      </c>
      <c r="D30" t="inlineStr">
        <is>
          <t>11.0201</t>
        </is>
      </c>
      <c r="E30" t="inlineStr">
        <is>
          <t>IT &amp; Cybersecurity</t>
        </is>
      </c>
      <c r="F30">
        <f>IFERROR(INDEX(tbl_CIP_SOC_Crosswalk[SOC_Code],MATCH(D30,tbl_CIP_SOC_Crosswalk[CIP_Code],0)),"")</f>
        <v/>
      </c>
      <c r="G30">
        <f>IFERROR(INDEX(tbl_CIP_SOC_Crosswalk[Pathway_Name],MATCH(D30,tbl_CIP_SOC_Crosswalk[CIP_Code],0)),"")</f>
        <v/>
      </c>
      <c r="H30">
        <f>IFERROR(SUMIFS(tbl_Labor_County[Median_Wage],tbl_Labor_County[County],C30,tbl_Labor_County[SOC_Code],F30),0)</f>
        <v/>
      </c>
      <c r="I30">
        <f>IFERROR(SUMIFS(tbl_Labor_County[Regional_Median_Wage],tbl_Labor_County[County],C30,tbl_Labor_County[SOC_Code],F30),0)</f>
        <v/>
      </c>
      <c r="J30">
        <f>IFERROR(SUMIFS(tbl_Labor_County[Annual_Openings_Current],tbl_Labor_County[County],C30,tbl_Labor_County[SOC_Code],F30),0)</f>
        <v/>
      </c>
      <c r="K30">
        <f>IFERROR(SUMIFS(tbl_Labor_County[Annual_Openings_10yr],tbl_Labor_County[County],C30,tbl_Labor_County[SOC_Code],F30),0)</f>
        <v/>
      </c>
      <c r="L30">
        <f>IF(I30=0,0,H30/I30)</f>
        <v/>
      </c>
      <c r="M30">
        <f>IF(L30&gt;=1.10,"Yes","No")</f>
        <v/>
      </c>
      <c r="N30">
        <f>IF(L30&gt;=1.20,"Yes","No")</f>
        <v/>
      </c>
      <c r="O30">
        <f>IF(L30&gt;=1.30,"Yes","No")</f>
        <v/>
      </c>
      <c r="P30">
        <f>IF(J30=0,999,COUNTIFS(tbl_Labor_County[County],C30,tbl_Labor_County[Annual_Openings_Current],"&gt;"&amp;J30)+1)</f>
        <v/>
      </c>
      <c r="Q30">
        <f>IF(K30=0,999,COUNTIFS(tbl_Labor_County[County],C30,tbl_Labor_County[Annual_Openings_10yr],"&gt;"&amp;K30)+1)</f>
        <v/>
      </c>
      <c r="R30">
        <f>IF(P30&lt;=15,"Yes","No")</f>
        <v/>
      </c>
      <c r="S30">
        <f>IF(P30&lt;=20,"Yes","No")</f>
        <v/>
      </c>
      <c r="T30">
        <f>IF(Q30&lt;=15,"Yes","No")</f>
        <v/>
      </c>
      <c r="U30">
        <f>IF(Q30&lt;=20,"Yes","No")</f>
        <v/>
      </c>
      <c r="V30">
        <f>IF(AND(M30="Yes",R30="Yes"),"Yes","No")</f>
        <v/>
      </c>
      <c r="W30">
        <f>IF(AND(M30="Yes",T30="Yes"),"Yes","No")</f>
        <v/>
      </c>
      <c r="X30">
        <f>IF(AND(M30="Yes",S30="Yes"),"Yes","No")</f>
        <v/>
      </c>
      <c r="Y30">
        <f>IF(AND(M30="Yes",U30="Yes"),"Yes","No")</f>
        <v/>
      </c>
      <c r="Z30">
        <f>IF(AND(N30="Yes",R30="Yes"),"Yes","No")</f>
        <v/>
      </c>
      <c r="AA30">
        <f>IF(AND(N30="Yes",T30="Yes"),"Yes","No")</f>
        <v/>
      </c>
      <c r="AB30">
        <f>IF(AND(N30="Yes",S30="Yes"),"Yes","No")</f>
        <v/>
      </c>
      <c r="AC30">
        <f>IF(AND(N30="Yes",U30="Yes"),"Yes","No")</f>
        <v/>
      </c>
      <c r="AD30">
        <f>IF(AND(O30="Yes",R30="Yes"),"Yes","No")</f>
        <v/>
      </c>
      <c r="AE30">
        <f>IF(AND(O30="Yes",T30="Yes"),"Yes","No")</f>
        <v/>
      </c>
      <c r="AF30">
        <f>IF(AND(O30="Yes",S30="Yes"),"Yes","No")</f>
        <v/>
      </c>
      <c r="AG30">
        <f>IF(AND(O30="Yes",U30="Yes"),"Yes","No")</f>
        <v/>
      </c>
    </row>
    <row r="31">
      <c r="A31" t="inlineStr">
        <is>
          <t>2601345</t>
        </is>
      </c>
      <c r="B31">
        <f>IFERROR(INDEX(tbl_Districts_Clean[District_Name],MATCH(A31,tbl_Districts_Clean[NCES_ID],0)),"")</f>
        <v/>
      </c>
      <c r="C31">
        <f>IFERROR(INDEX(tbl_Districts_Clean[County],MATCH(A31,tbl_Districts_Clean[NCES_ID],0)),"")</f>
        <v/>
      </c>
      <c r="D31" t="inlineStr">
        <is>
          <t>52.0201</t>
        </is>
      </c>
      <c r="E31" t="inlineStr">
        <is>
          <t>Business Technology</t>
        </is>
      </c>
      <c r="F31">
        <f>IFERROR(INDEX(tbl_CIP_SOC_Crosswalk[SOC_Code],MATCH(D31,tbl_CIP_SOC_Crosswalk[CIP_Code],0)),"")</f>
        <v/>
      </c>
      <c r="G31">
        <f>IFERROR(INDEX(tbl_CIP_SOC_Crosswalk[Pathway_Name],MATCH(D31,tbl_CIP_SOC_Crosswalk[CIP_Code],0)),"")</f>
        <v/>
      </c>
      <c r="H31">
        <f>IFERROR(SUMIFS(tbl_Labor_County[Median_Wage],tbl_Labor_County[County],C31,tbl_Labor_County[SOC_Code],F31),0)</f>
        <v/>
      </c>
      <c r="I31">
        <f>IFERROR(SUMIFS(tbl_Labor_County[Regional_Median_Wage],tbl_Labor_County[County],C31,tbl_Labor_County[SOC_Code],F31),0)</f>
        <v/>
      </c>
      <c r="J31">
        <f>IFERROR(SUMIFS(tbl_Labor_County[Annual_Openings_Current],tbl_Labor_County[County],C31,tbl_Labor_County[SOC_Code],F31),0)</f>
        <v/>
      </c>
      <c r="K31">
        <f>IFERROR(SUMIFS(tbl_Labor_County[Annual_Openings_10yr],tbl_Labor_County[County],C31,tbl_Labor_County[SOC_Code],F31),0)</f>
        <v/>
      </c>
      <c r="L31">
        <f>IF(I31=0,0,H31/I31)</f>
        <v/>
      </c>
      <c r="M31">
        <f>IF(L31&gt;=1.10,"Yes","No")</f>
        <v/>
      </c>
      <c r="N31">
        <f>IF(L31&gt;=1.20,"Yes","No")</f>
        <v/>
      </c>
      <c r="O31">
        <f>IF(L31&gt;=1.30,"Yes","No")</f>
        <v/>
      </c>
      <c r="P31">
        <f>IF(J31=0,999,COUNTIFS(tbl_Labor_County[County],C31,tbl_Labor_County[Annual_Openings_Current],"&gt;"&amp;J31)+1)</f>
        <v/>
      </c>
      <c r="Q31">
        <f>IF(K31=0,999,COUNTIFS(tbl_Labor_County[County],C31,tbl_Labor_County[Annual_Openings_10yr],"&gt;"&amp;K31)+1)</f>
        <v/>
      </c>
      <c r="R31">
        <f>IF(P31&lt;=15,"Yes","No")</f>
        <v/>
      </c>
      <c r="S31">
        <f>IF(P31&lt;=20,"Yes","No")</f>
        <v/>
      </c>
      <c r="T31">
        <f>IF(Q31&lt;=15,"Yes","No")</f>
        <v/>
      </c>
      <c r="U31">
        <f>IF(Q31&lt;=20,"Yes","No")</f>
        <v/>
      </c>
      <c r="V31">
        <f>IF(AND(M31="Yes",R31="Yes"),"Yes","No")</f>
        <v/>
      </c>
      <c r="W31">
        <f>IF(AND(M31="Yes",T31="Yes"),"Yes","No")</f>
        <v/>
      </c>
      <c r="X31">
        <f>IF(AND(M31="Yes",S31="Yes"),"Yes","No")</f>
        <v/>
      </c>
      <c r="Y31">
        <f>IF(AND(M31="Yes",U31="Yes"),"Yes","No")</f>
        <v/>
      </c>
      <c r="Z31">
        <f>IF(AND(N31="Yes",R31="Yes"),"Yes","No")</f>
        <v/>
      </c>
      <c r="AA31">
        <f>IF(AND(N31="Yes",T31="Yes"),"Yes","No")</f>
        <v/>
      </c>
      <c r="AB31">
        <f>IF(AND(N31="Yes",S31="Yes"),"Yes","No")</f>
        <v/>
      </c>
      <c r="AC31">
        <f>IF(AND(N31="Yes",U31="Yes"),"Yes","No")</f>
        <v/>
      </c>
      <c r="AD31">
        <f>IF(AND(O31="Yes",R31="Yes"),"Yes","No")</f>
        <v/>
      </c>
      <c r="AE31">
        <f>IF(AND(O31="Yes",T31="Yes"),"Yes","No")</f>
        <v/>
      </c>
      <c r="AF31">
        <f>IF(AND(O31="Yes",S31="Yes"),"Yes","No")</f>
        <v/>
      </c>
      <c r="AG31">
        <f>IF(AND(O31="Yes",U31="Yes"),"Yes","No")</f>
        <v/>
      </c>
    </row>
    <row r="32">
      <c r="A32" t="inlineStr">
        <is>
          <t>2601345</t>
        </is>
      </c>
      <c r="B32">
        <f>IFERROR(INDEX(tbl_Districts_Clean[District_Name],MATCH(A32,tbl_Districts_Clean[NCES_ID],0)),"")</f>
        <v/>
      </c>
      <c r="C32">
        <f>IFERROR(INDEX(tbl_Districts_Clean[County],MATCH(A32,tbl_Districts_Clean[NCES_ID],0)),"")</f>
        <v/>
      </c>
      <c r="D32" t="inlineStr">
        <is>
          <t>47.0201</t>
        </is>
      </c>
      <c r="E32" t="inlineStr">
        <is>
          <t>Engineering &amp; Trades</t>
        </is>
      </c>
      <c r="F32">
        <f>IFERROR(INDEX(tbl_CIP_SOC_Crosswalk[SOC_Code],MATCH(D32,tbl_CIP_SOC_Crosswalk[CIP_Code],0)),"")</f>
        <v/>
      </c>
      <c r="G32">
        <f>IFERROR(INDEX(tbl_CIP_SOC_Crosswalk[Pathway_Name],MATCH(D32,tbl_CIP_SOC_Crosswalk[CIP_Code],0)),"")</f>
        <v/>
      </c>
      <c r="H32">
        <f>IFERROR(SUMIFS(tbl_Labor_County[Median_Wage],tbl_Labor_County[County],C32,tbl_Labor_County[SOC_Code],F32),0)</f>
        <v/>
      </c>
      <c r="I32">
        <f>IFERROR(SUMIFS(tbl_Labor_County[Regional_Median_Wage],tbl_Labor_County[County],C32,tbl_Labor_County[SOC_Code],F32),0)</f>
        <v/>
      </c>
      <c r="J32">
        <f>IFERROR(SUMIFS(tbl_Labor_County[Annual_Openings_Current],tbl_Labor_County[County],C32,tbl_Labor_County[SOC_Code],F32),0)</f>
        <v/>
      </c>
      <c r="K32">
        <f>IFERROR(SUMIFS(tbl_Labor_County[Annual_Openings_10yr],tbl_Labor_County[County],C32,tbl_Labor_County[SOC_Code],F32),0)</f>
        <v/>
      </c>
      <c r="L32">
        <f>IF(I32=0,0,H32/I32)</f>
        <v/>
      </c>
      <c r="M32">
        <f>IF(L32&gt;=1.10,"Yes","No")</f>
        <v/>
      </c>
      <c r="N32">
        <f>IF(L32&gt;=1.20,"Yes","No")</f>
        <v/>
      </c>
      <c r="O32">
        <f>IF(L32&gt;=1.30,"Yes","No")</f>
        <v/>
      </c>
      <c r="P32">
        <f>IF(J32=0,999,COUNTIFS(tbl_Labor_County[County],C32,tbl_Labor_County[Annual_Openings_Current],"&gt;"&amp;J32)+1)</f>
        <v/>
      </c>
      <c r="Q32">
        <f>IF(K32=0,999,COUNTIFS(tbl_Labor_County[County],C32,tbl_Labor_County[Annual_Openings_10yr],"&gt;"&amp;K32)+1)</f>
        <v/>
      </c>
      <c r="R32">
        <f>IF(P32&lt;=15,"Yes","No")</f>
        <v/>
      </c>
      <c r="S32">
        <f>IF(P32&lt;=20,"Yes","No")</f>
        <v/>
      </c>
      <c r="T32">
        <f>IF(Q32&lt;=15,"Yes","No")</f>
        <v/>
      </c>
      <c r="U32">
        <f>IF(Q32&lt;=20,"Yes","No")</f>
        <v/>
      </c>
      <c r="V32">
        <f>IF(AND(M32="Yes",R32="Yes"),"Yes","No")</f>
        <v/>
      </c>
      <c r="W32">
        <f>IF(AND(M32="Yes",T32="Yes"),"Yes","No")</f>
        <v/>
      </c>
      <c r="X32">
        <f>IF(AND(M32="Yes",S32="Yes"),"Yes","No")</f>
        <v/>
      </c>
      <c r="Y32">
        <f>IF(AND(M32="Yes",U32="Yes"),"Yes","No")</f>
        <v/>
      </c>
      <c r="Z32">
        <f>IF(AND(N32="Yes",R32="Yes"),"Yes","No")</f>
        <v/>
      </c>
      <c r="AA32">
        <f>IF(AND(N32="Yes",T32="Yes"),"Yes","No")</f>
        <v/>
      </c>
      <c r="AB32">
        <f>IF(AND(N32="Yes",S32="Yes"),"Yes","No")</f>
        <v/>
      </c>
      <c r="AC32">
        <f>IF(AND(N32="Yes",U32="Yes"),"Yes","No")</f>
        <v/>
      </c>
      <c r="AD32">
        <f>IF(AND(O32="Yes",R32="Yes"),"Yes","No")</f>
        <v/>
      </c>
      <c r="AE32">
        <f>IF(AND(O32="Yes",T32="Yes"),"Yes","No")</f>
        <v/>
      </c>
      <c r="AF32">
        <f>IF(AND(O32="Yes",S32="Yes"),"Yes","No")</f>
        <v/>
      </c>
      <c r="AG32">
        <f>IF(AND(O32="Yes",U32="Yes"),"Yes","No")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FFFF99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3" t="inlineStr">
        <is>
          <t>SENSITIVITY ANALYSIS TOGGLE PANEL</t>
        </is>
      </c>
    </row>
    <row r="2">
      <c r="A2" s="4" t="inlineStr">
        <is>
          <t>District Inclusion:</t>
        </is>
      </c>
      <c r="B2" s="5" t="inlineStr">
        <is>
          <t>All Districts</t>
        </is>
      </c>
      <c r="C2" t="inlineStr">
        <is>
          <t>Current: All Districts / CTE-Only</t>
        </is>
      </c>
    </row>
    <row r="3">
      <c r="A3" s="4" t="inlineStr">
        <is>
          <t>Wage Threshold:</t>
        </is>
      </c>
      <c r="B3" s="5" t="inlineStr">
        <is>
          <t>120%</t>
        </is>
      </c>
      <c r="C3" t="inlineStr">
        <is>
          <t>Current: 110% / 120% / 130%</t>
        </is>
      </c>
    </row>
    <row r="4">
      <c r="A4" s="4" t="inlineStr">
        <is>
          <t>Occupation Count:</t>
        </is>
      </c>
      <c r="B4" s="5" t="inlineStr">
        <is>
          <t>Top 15</t>
        </is>
      </c>
      <c r="C4" t="inlineStr">
        <is>
          <t>Current: Top 15 / Top 20</t>
        </is>
      </c>
    </row>
    <row r="5">
      <c r="A5" s="4" t="inlineStr">
        <is>
          <t>Time Reference:</t>
        </is>
      </c>
      <c r="B5" s="5" t="inlineStr">
        <is>
          <t>Current</t>
        </is>
      </c>
      <c r="C5" t="inlineStr">
        <is>
          <t>Current: Current / 10-Year Projection</t>
        </is>
      </c>
    </row>
    <row r="7">
      <c r="A7" s="4" t="inlineStr">
        <is>
          <t>CONFIGURATION NOTES:</t>
        </is>
      </c>
    </row>
    <row r="8">
      <c r="A8" t="inlineStr">
        <is>
          <t>Changes to settings automatically update all PAI calculations</t>
        </is>
      </c>
    </row>
    <row r="9">
      <c r="A9" t="inlineStr">
        <is>
          <t>Record your configuration before exporting to R</t>
        </is>
      </c>
    </row>
    <row r="10">
      <c r="A10" t="inlineStr">
        <is>
          <t>Primary Analysis: CTE-Only, 120%, Top 15, Current</t>
        </is>
      </c>
    </row>
  </sheetData>
  <mergeCells count="1">
    <mergeCell ref="A1:C1"/>
  </mergeCells>
  <dataValidations count="4">
    <dataValidation sqref="B2" showDropDown="0" showInputMessage="0" showErrorMessage="0" allowBlank="0" type="list">
      <formula1>"All Districts,CTE-Only"</formula1>
    </dataValidation>
    <dataValidation sqref="B3" showDropDown="0" showInputMessage="0" showErrorMessage="0" allowBlank="0" type="list">
      <formula1>"110%,120%,130%"</formula1>
    </dataValidation>
    <dataValidation sqref="B4" showDropDown="0" showInputMessage="0" showErrorMessage="0" allowBlank="0" type="list">
      <formula1>"Top 15,Top 20"</formula1>
    </dataValidation>
    <dataValidation sqref="B5" showDropDown="0" showInputMessage="0" showErrorMessage="0" allowBlank="0" type="list">
      <formula1>"Current,10-Year Projection"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E6FA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>
      <c r="A1" s="2" t="inlineStr">
        <is>
          <t>Variable_Name</t>
        </is>
      </c>
      <c r="B1" s="2" t="inlineStr">
        <is>
          <t>Data_Type</t>
        </is>
      </c>
      <c r="C1" s="2" t="inlineStr">
        <is>
          <t>Valid_Range</t>
        </is>
      </c>
      <c r="D1" s="2" t="inlineStr">
        <is>
          <t>Description</t>
        </is>
      </c>
      <c r="E1" s="2" t="inlineStr">
        <is>
          <t>Source_Sheet</t>
        </is>
      </c>
      <c r="F1" s="2" t="inlineStr">
        <is>
          <t>Formula_Reference</t>
        </is>
      </c>
    </row>
    <row r="2">
      <c r="A2" t="inlineStr">
        <is>
          <t>NCES_ID</t>
        </is>
      </c>
      <c r="B2" t="inlineStr">
        <is>
          <t>Text</t>
        </is>
      </c>
      <c r="C2" t="inlineStr">
        <is>
          <t>7-digit</t>
        </is>
      </c>
      <c r="D2" t="inlineStr">
        <is>
          <t>National Center for Education Statistics ID</t>
        </is>
      </c>
      <c r="E2" t="inlineStr">
        <is>
          <t>Districts_Raw</t>
        </is>
      </c>
      <c r="F2" t="inlineStr">
        <is>
          <t>N/A</t>
        </is>
      </c>
    </row>
    <row r="3">
      <c r="A3" t="inlineStr">
        <is>
          <t>District_Name</t>
        </is>
      </c>
      <c r="B3" t="inlineStr">
        <is>
          <t>Text</t>
        </is>
      </c>
      <c r="C3" t="inlineStr">
        <is>
          <t>-</t>
        </is>
      </c>
      <c r="D3" t="inlineStr">
        <is>
          <t>Official district name</t>
        </is>
      </c>
      <c r="E3" t="inlineStr">
        <is>
          <t>Districts_Raw</t>
        </is>
      </c>
      <c r="F3" t="inlineStr">
        <is>
          <t>N/A</t>
        </is>
      </c>
    </row>
    <row r="4">
      <c r="A4" t="inlineStr">
        <is>
          <t>County</t>
        </is>
      </c>
      <c r="B4" t="inlineStr">
        <is>
          <t>Text</t>
        </is>
      </c>
      <c r="C4" t="inlineStr">
        <is>
          <t>-</t>
        </is>
      </c>
      <c r="D4" t="inlineStr">
        <is>
          <t>Michigan county name</t>
        </is>
      </c>
      <c r="E4" t="inlineStr">
        <is>
          <t>Districts_Raw</t>
        </is>
      </c>
      <c r="F4" t="inlineStr">
        <is>
          <t>N/A</t>
        </is>
      </c>
    </row>
    <row r="5">
      <c r="A5" t="inlineStr">
        <is>
          <t>Locale_Code</t>
        </is>
      </c>
      <c r="B5" t="inlineStr">
        <is>
          <t>Integer</t>
        </is>
      </c>
      <c r="C5" t="inlineStr">
        <is>
          <t>11-43</t>
        </is>
      </c>
      <c r="D5" t="inlineStr">
        <is>
          <t>NCES Urban-Centric Locale Code</t>
        </is>
      </c>
      <c r="E5" t="inlineStr">
        <is>
          <t>Districts_Raw</t>
        </is>
      </c>
      <c r="F5" t="inlineStr">
        <is>
          <t>N/A</t>
        </is>
      </c>
    </row>
    <row r="6">
      <c r="A6" t="inlineStr">
        <is>
          <t>Locale_Category</t>
        </is>
      </c>
      <c r="B6" t="inlineStr">
        <is>
          <t>Text</t>
        </is>
      </c>
      <c r="C6" t="inlineStr">
        <is>
          <t>City/Suburb/Town/Rural</t>
        </is>
      </c>
      <c r="D6" t="inlineStr">
        <is>
          <t>Broad geographic classification</t>
        </is>
      </c>
      <c r="E6" t="inlineStr">
        <is>
          <t>Districts_Clean</t>
        </is>
      </c>
      <c r="F6" t="inlineStr">
        <is>
          <t>IFS(Locale_Code...)</t>
        </is>
      </c>
    </row>
    <row r="7">
      <c r="A7" t="inlineStr">
        <is>
          <t>Locale_Label</t>
        </is>
      </c>
      <c r="B7" t="inlineStr">
        <is>
          <t>Text</t>
        </is>
      </c>
      <c r="C7" t="inlineStr">
        <is>
          <t>12 categories</t>
        </is>
      </c>
      <c r="D7" t="inlineStr">
        <is>
          <t>Detailed locale classification</t>
        </is>
      </c>
      <c r="E7" t="inlineStr">
        <is>
          <t>Districts_Clean</t>
        </is>
      </c>
      <c r="F7" t="inlineStr">
        <is>
          <t>IFS(Locale_Code...)</t>
        </is>
      </c>
    </row>
    <row r="8">
      <c r="A8" t="inlineStr">
        <is>
          <t>Enrollment</t>
        </is>
      </c>
      <c r="B8" t="inlineStr">
        <is>
          <t>Integer</t>
        </is>
      </c>
      <c r="C8" t="inlineStr">
        <is>
          <t>&gt;0</t>
        </is>
      </c>
      <c r="D8" t="inlineStr">
        <is>
          <t>Total district enrollment</t>
        </is>
      </c>
      <c r="E8" t="inlineStr">
        <is>
          <t>Districts_Raw</t>
        </is>
      </c>
      <c r="F8" t="inlineStr">
        <is>
          <t>N/A</t>
        </is>
      </c>
    </row>
    <row r="9">
      <c r="A9" t="inlineStr">
        <is>
          <t>FRL_Count</t>
        </is>
      </c>
      <c r="B9" t="inlineStr">
        <is>
          <t>Integer</t>
        </is>
      </c>
      <c r="C9" t="inlineStr">
        <is>
          <t>&gt;=0</t>
        </is>
      </c>
      <c r="D9" t="inlineStr">
        <is>
          <t>Students eligible for Free/Reduced Lunch</t>
        </is>
      </c>
      <c r="E9" t="inlineStr">
        <is>
          <t>Districts_Raw</t>
        </is>
      </c>
      <c r="F9" t="inlineStr">
        <is>
          <t>N/A</t>
        </is>
      </c>
    </row>
    <row r="10">
      <c r="A10" t="inlineStr">
        <is>
          <t>FRL_Percent</t>
        </is>
      </c>
      <c r="B10" t="inlineStr">
        <is>
          <t>Decimal</t>
        </is>
      </c>
      <c r="C10" t="inlineStr">
        <is>
          <t>0-100</t>
        </is>
      </c>
      <c r="D10" t="inlineStr">
        <is>
          <t>Free/Reduced Lunch percentage</t>
        </is>
      </c>
      <c r="E10" t="inlineStr">
        <is>
          <t>Districts_Raw</t>
        </is>
      </c>
      <c r="F10" t="inlineStr">
        <is>
          <t>Calculated</t>
        </is>
      </c>
    </row>
    <row r="11">
      <c r="A11" t="inlineStr">
        <is>
          <t>Has_CTE</t>
        </is>
      </c>
      <c r="B11" t="inlineStr">
        <is>
          <t>Text</t>
        </is>
      </c>
      <c r="C11" t="inlineStr">
        <is>
          <t>Yes/No</t>
        </is>
      </c>
      <c r="D11" t="inlineStr">
        <is>
          <t>District offers CTE programs</t>
        </is>
      </c>
      <c r="E11" t="inlineStr">
        <is>
          <t>Districts_Clean</t>
        </is>
      </c>
      <c r="F11" t="inlineStr">
        <is>
          <t>COUNTIFS</t>
        </is>
      </c>
    </row>
    <row r="12">
      <c r="A12" t="inlineStr">
        <is>
          <t>CIP_Code</t>
        </is>
      </c>
      <c r="B12" t="inlineStr">
        <is>
          <t>Text</t>
        </is>
      </c>
      <c r="C12" t="inlineStr">
        <is>
          <t>6-digit</t>
        </is>
      </c>
      <c r="D12" t="inlineStr">
        <is>
          <t>Classification of Instructional Programs code</t>
        </is>
      </c>
      <c r="E12" t="inlineStr">
        <is>
          <t>Programs_Raw</t>
        </is>
      </c>
      <c r="F12" t="inlineStr">
        <is>
          <t>N/A</t>
        </is>
      </c>
    </row>
    <row r="13">
      <c r="A13" t="inlineStr">
        <is>
          <t>Building_Code</t>
        </is>
      </c>
      <c r="B13" t="inlineStr">
        <is>
          <t>Text</t>
        </is>
      </c>
      <c r="C13" t="inlineStr">
        <is>
          <t>8-digit</t>
        </is>
      </c>
      <c r="D13" t="inlineStr">
        <is>
          <t>Facility/program location identifier</t>
        </is>
      </c>
      <c r="E13" t="inlineStr">
        <is>
          <t>Programs_Raw</t>
        </is>
      </c>
      <c r="F13" t="inlineStr">
        <is>
          <t>N/A</t>
        </is>
      </c>
    </row>
    <row r="14">
      <c r="A14" t="inlineStr">
        <is>
          <t>Program_Name</t>
        </is>
      </c>
      <c r="B14" t="inlineStr">
        <is>
          <t>Text</t>
        </is>
      </c>
      <c r="C14" t="inlineStr">
        <is>
          <t>-</t>
        </is>
      </c>
      <c r="D14" t="inlineStr">
        <is>
          <t>CTE program title</t>
        </is>
      </c>
      <c r="E14" t="inlineStr">
        <is>
          <t>Programs_Raw</t>
        </is>
      </c>
      <c r="F14" t="inlineStr">
        <is>
          <t>N/A</t>
        </is>
      </c>
    </row>
    <row r="15">
      <c r="A15" t="inlineStr">
        <is>
          <t>Program_Status</t>
        </is>
      </c>
      <c r="B15" t="inlineStr">
        <is>
          <t>Text</t>
        </is>
      </c>
      <c r="C15" t="inlineStr">
        <is>
          <t>Active/Inactive</t>
        </is>
      </c>
      <c r="D15" t="inlineStr">
        <is>
          <t>Current program operational status</t>
        </is>
      </c>
      <c r="E15" t="inlineStr">
        <is>
          <t>Programs_Raw</t>
        </is>
      </c>
      <c r="F15" t="inlineStr">
        <is>
          <t>N/A</t>
        </is>
      </c>
    </row>
    <row r="16">
      <c r="A16" t="inlineStr">
        <is>
          <t>Is_InHouse</t>
        </is>
      </c>
      <c r="B16" t="inlineStr">
        <is>
          <t>Text</t>
        </is>
      </c>
      <c r="C16" t="inlineStr">
        <is>
          <t>Yes/No</t>
        </is>
      </c>
      <c r="D16" t="inlineStr">
        <is>
          <t>Program delivered within district</t>
        </is>
      </c>
      <c r="E16" t="inlineStr">
        <is>
          <t>Programs_Fractional</t>
        </is>
      </c>
      <c r="F16" t="inlineStr">
        <is>
          <t>IF(LEFT...)</t>
        </is>
      </c>
    </row>
    <row r="17">
      <c r="A17" t="inlineStr">
        <is>
          <t>Sharing_Count</t>
        </is>
      </c>
      <c r="B17" t="inlineStr">
        <is>
          <t>Integer</t>
        </is>
      </c>
      <c r="C17" t="inlineStr">
        <is>
          <t>&gt;=1</t>
        </is>
      </c>
      <c r="D17" t="inlineStr">
        <is>
          <t>Number of districts sharing program facility</t>
        </is>
      </c>
      <c r="E17" t="inlineStr">
        <is>
          <t>Programs_Fractional</t>
        </is>
      </c>
      <c r="F17" t="inlineStr">
        <is>
          <t>COUNTIFS</t>
        </is>
      </c>
    </row>
    <row r="18">
      <c r="A18" t="inlineStr">
        <is>
          <t>Fractional_Credit</t>
        </is>
      </c>
      <c r="B18" t="inlineStr">
        <is>
          <t>Decimal</t>
        </is>
      </c>
      <c r="C18" t="inlineStr">
        <is>
          <t>0-1</t>
        </is>
      </c>
      <c r="D18" t="inlineStr">
        <is>
          <t>Program access credit for shared programs</t>
        </is>
      </c>
      <c r="E18" t="inlineStr">
        <is>
          <t>Programs_Fractional</t>
        </is>
      </c>
      <c r="F18" t="inlineStr">
        <is>
          <t>IF(Is_InHouse...)</t>
        </is>
      </c>
    </row>
    <row r="19">
      <c r="A19" t="inlineStr">
        <is>
          <t>SOC_Code</t>
        </is>
      </c>
      <c r="B19" t="inlineStr">
        <is>
          <t>Text</t>
        </is>
      </c>
      <c r="C19" t="inlineStr">
        <is>
          <t>7-digit</t>
        </is>
      </c>
      <c r="D19" t="inlineStr">
        <is>
          <t>Standard Occupational Classification code</t>
        </is>
      </c>
      <c r="E19" t="inlineStr">
        <is>
          <t>Labor_Market</t>
        </is>
      </c>
      <c r="F19" t="inlineStr">
        <is>
          <t>N/A</t>
        </is>
      </c>
    </row>
    <row r="20">
      <c r="A20" t="inlineStr">
        <is>
          <t>Occupation_Title</t>
        </is>
      </c>
      <c r="B20" t="inlineStr">
        <is>
          <t>Text</t>
        </is>
      </c>
      <c r="C20" t="inlineStr">
        <is>
          <t>-</t>
        </is>
      </c>
      <c r="D20" t="inlineStr">
        <is>
          <t>Job title from SOC taxonomy</t>
        </is>
      </c>
      <c r="E20" t="inlineStr">
        <is>
          <t>Labor_Market</t>
        </is>
      </c>
      <c r="F20" t="inlineStr">
        <is>
          <t>N/A</t>
        </is>
      </c>
    </row>
    <row r="21">
      <c r="A21" t="inlineStr">
        <is>
          <t>Median_Wage</t>
        </is>
      </c>
      <c r="B21" t="inlineStr">
        <is>
          <t>Integer</t>
        </is>
      </c>
      <c r="C21" t="inlineStr">
        <is>
          <t>&gt;0</t>
        </is>
      </c>
      <c r="D21" t="inlineStr">
        <is>
          <t>Occupation median annual wage</t>
        </is>
      </c>
      <c r="E21" t="inlineStr">
        <is>
          <t>Labor_Market</t>
        </is>
      </c>
      <c r="F21" t="inlineStr">
        <is>
          <t>N/A</t>
        </is>
      </c>
    </row>
    <row r="22">
      <c r="A22" t="inlineStr">
        <is>
          <t>Regional_Median_Wage</t>
        </is>
      </c>
      <c r="B22" t="inlineStr">
        <is>
          <t>Integer</t>
        </is>
      </c>
      <c r="C22" t="inlineStr">
        <is>
          <t>&gt;0</t>
        </is>
      </c>
      <c r="D22" t="inlineStr">
        <is>
          <t>Overall regional median wage benchmark</t>
        </is>
      </c>
      <c r="E22" t="inlineStr">
        <is>
          <t>Labor_Market</t>
        </is>
      </c>
      <c r="F22" t="inlineStr">
        <is>
          <t>N/A</t>
        </is>
      </c>
    </row>
    <row r="23">
      <c r="A23" t="inlineStr">
        <is>
          <t>Annual_Openings_Current</t>
        </is>
      </c>
      <c r="B23" t="inlineStr">
        <is>
          <t>Integer</t>
        </is>
      </c>
      <c r="C23" t="inlineStr">
        <is>
          <t>&gt;=0</t>
        </is>
      </c>
      <c r="D23" t="inlineStr">
        <is>
          <t>Current year projected job openings</t>
        </is>
      </c>
      <c r="E23" t="inlineStr">
        <is>
          <t>Labor_Market</t>
        </is>
      </c>
      <c r="F23" t="inlineStr">
        <is>
          <t>N/A</t>
        </is>
      </c>
    </row>
    <row r="24">
      <c r="A24" t="inlineStr">
        <is>
          <t>Annual_Openings_10yr</t>
        </is>
      </c>
      <c r="B24" t="inlineStr">
        <is>
          <t>Integer</t>
        </is>
      </c>
      <c r="C24" t="inlineStr">
        <is>
          <t>&gt;=0</t>
        </is>
      </c>
      <c r="D24" t="inlineStr">
        <is>
          <t>10-year projection job openings</t>
        </is>
      </c>
      <c r="E24" t="inlineStr">
        <is>
          <t>Labor_Market</t>
        </is>
      </c>
      <c r="F24" t="inlineStr">
        <is>
          <t>N/A</t>
        </is>
      </c>
    </row>
    <row r="25">
      <c r="A25" t="inlineStr">
        <is>
          <t>CEPD_Region</t>
        </is>
      </c>
      <c r="B25" t="inlineStr">
        <is>
          <t>Text</t>
        </is>
      </c>
      <c r="C25" t="inlineStr">
        <is>
          <t>-</t>
        </is>
      </c>
      <c r="D25" t="inlineStr">
        <is>
          <t>Career Education Planning District</t>
        </is>
      </c>
      <c r="E25" t="inlineStr">
        <is>
          <t>Geographic_Crosswalk</t>
        </is>
      </c>
      <c r="F25" t="inlineStr">
        <is>
          <t>N/A</t>
        </is>
      </c>
    </row>
    <row r="26">
      <c r="A26" t="inlineStr">
        <is>
          <t>Prosperity_Region</t>
        </is>
      </c>
      <c r="B26" t="inlineStr">
        <is>
          <t>Text</t>
        </is>
      </c>
      <c r="C26" t="inlineStr">
        <is>
          <t>-</t>
        </is>
      </c>
      <c r="D26" t="inlineStr">
        <is>
          <t>Michigan Prosperity Region</t>
        </is>
      </c>
      <c r="E26" t="inlineStr">
        <is>
          <t>Geographic_Crosswalk</t>
        </is>
      </c>
      <c r="F26" t="inlineStr">
        <is>
          <t>N/A</t>
        </is>
      </c>
    </row>
    <row r="27">
      <c r="A27" t="inlineStr">
        <is>
          <t>Metropolitan_Region</t>
        </is>
      </c>
      <c r="B27" t="inlineStr">
        <is>
          <t>Text</t>
        </is>
      </c>
      <c r="C27" t="inlineStr">
        <is>
          <t>-</t>
        </is>
      </c>
      <c r="D27" t="inlineStr">
        <is>
          <t>Metropolitan Statistical Area</t>
        </is>
      </c>
      <c r="E27" t="inlineStr">
        <is>
          <t>Geographic_Crosswalk</t>
        </is>
      </c>
      <c r="F27" t="inlineStr">
        <is>
          <t>N/A</t>
        </is>
      </c>
    </row>
    <row r="28">
      <c r="A28" t="inlineStr">
        <is>
          <t>Economic_Region</t>
        </is>
      </c>
      <c r="B28" t="inlineStr">
        <is>
          <t>Text</t>
        </is>
      </c>
      <c r="C28" t="inlineStr">
        <is>
          <t>-</t>
        </is>
      </c>
      <c r="D28" t="inlineStr">
        <is>
          <t>Economic development region</t>
        </is>
      </c>
      <c r="E28" t="inlineStr">
        <is>
          <t>Geographic_Crosswalk</t>
        </is>
      </c>
      <c r="F28" t="inlineStr">
        <is>
          <t>N/A</t>
        </is>
      </c>
    </row>
    <row r="29">
      <c r="A29" t="inlineStr">
        <is>
          <t>Perkins_Funding</t>
        </is>
      </c>
      <c r="B29" t="inlineStr">
        <is>
          <t>Integer</t>
        </is>
      </c>
      <c r="C29" t="inlineStr">
        <is>
          <t>&gt;0</t>
        </is>
      </c>
      <c r="D29" t="inlineStr">
        <is>
          <t>Carl D. Perkins federal funding amount</t>
        </is>
      </c>
      <c r="E29" t="inlineStr">
        <is>
          <t>Control_Variables_Raw</t>
        </is>
      </c>
      <c r="F29" t="inlineStr">
        <is>
          <t>N/A</t>
        </is>
      </c>
    </row>
    <row r="30">
      <c r="A30" t="inlineStr">
        <is>
          <t>Unemployment_Rate</t>
        </is>
      </c>
      <c r="B30" t="inlineStr">
        <is>
          <t>Decimal</t>
        </is>
      </c>
      <c r="C30" t="inlineStr">
        <is>
          <t>0-20</t>
        </is>
      </c>
      <c r="D30" t="inlineStr">
        <is>
          <t>County unemployment rate percentage</t>
        </is>
      </c>
      <c r="E30" t="inlineStr">
        <is>
          <t>Control_Variables_Raw</t>
        </is>
      </c>
      <c r="F30" t="inlineStr">
        <is>
          <t>N/A</t>
        </is>
      </c>
    </row>
    <row r="31">
      <c r="A31" t="inlineStr">
        <is>
          <t>District_Wealth_Index</t>
        </is>
      </c>
      <c r="B31" t="inlineStr">
        <is>
          <t>Decimal</t>
        </is>
      </c>
      <c r="C31" t="inlineStr">
        <is>
          <t>0-3</t>
        </is>
      </c>
      <c r="D31" t="inlineStr">
        <is>
          <t>Relative district wealth indicator</t>
        </is>
      </c>
      <c r="E31" t="inlineStr">
        <is>
          <t>Control_Variables_Raw</t>
        </is>
      </c>
      <c r="F31" t="inlineStr">
        <is>
          <t>N/A</t>
        </is>
      </c>
    </row>
    <row r="32">
      <c r="A32" t="inlineStr">
        <is>
          <t>Urbanicity_Score</t>
        </is>
      </c>
      <c r="B32" t="inlineStr">
        <is>
          <t>Integer</t>
        </is>
      </c>
      <c r="C32" t="inlineStr">
        <is>
          <t>0-100</t>
        </is>
      </c>
      <c r="D32" t="inlineStr">
        <is>
          <t>Composite urban/rural density score</t>
        </is>
      </c>
      <c r="E32" t="inlineStr">
        <is>
          <t>Control_Variables_Raw</t>
        </is>
      </c>
      <c r="F32" t="inlineStr">
        <is>
          <t>N/A</t>
        </is>
      </c>
    </row>
    <row r="33">
      <c r="A33" t="inlineStr">
        <is>
          <t>OCQ</t>
        </is>
      </c>
      <c r="B33" t="inlineStr">
        <is>
          <t>Decimal</t>
        </is>
      </c>
      <c r="C33" t="inlineStr">
        <is>
          <t>0-100</t>
        </is>
      </c>
      <c r="D33" t="inlineStr">
        <is>
          <t>Opportunity Coverage Quotient - % of state pathways accessible</t>
        </is>
      </c>
      <c r="E33" t="inlineStr">
        <is>
          <t>OCQ_Calculated</t>
        </is>
      </c>
      <c r="F33" t="inlineStr">
        <is>
          <t>Calculated</t>
        </is>
      </c>
    </row>
    <row r="34">
      <c r="A34" t="inlineStr">
        <is>
          <t>OCQ_Category</t>
        </is>
      </c>
      <c r="B34" t="inlineStr">
        <is>
          <t>Text</t>
        </is>
      </c>
      <c r="C34" t="inlineStr">
        <is>
          <t>5 categories</t>
        </is>
      </c>
      <c r="D34" t="inlineStr">
        <is>
          <t>Categorical interpretation of OCQ</t>
        </is>
      </c>
      <c r="E34" t="inlineStr">
        <is>
          <t>OCQ_Calculated</t>
        </is>
      </c>
      <c r="F34" t="inlineStr">
        <is>
          <t>IFS formula</t>
        </is>
      </c>
    </row>
    <row r="35">
      <c r="A35" t="inlineStr">
        <is>
          <t>Total_Programs</t>
        </is>
      </c>
      <c r="B35" t="inlineStr">
        <is>
          <t>Decimal</t>
        </is>
      </c>
      <c r="C35" t="inlineStr">
        <is>
          <t>&gt;=0</t>
        </is>
      </c>
      <c r="D35" t="inlineStr">
        <is>
          <t>Sum of fractional credits for district</t>
        </is>
      </c>
      <c r="E35" t="inlineStr">
        <is>
          <t>Multiple sheets</t>
        </is>
      </c>
      <c r="F35" t="inlineStr">
        <is>
          <t>SUMIFS</t>
        </is>
      </c>
    </row>
    <row r="36">
      <c r="A36" t="inlineStr">
        <is>
          <t>PDER</t>
        </is>
      </c>
      <c r="B36" t="inlineStr">
        <is>
          <t>Decimal</t>
        </is>
      </c>
      <c r="C36" t="inlineStr">
        <is>
          <t>&gt;=0</t>
        </is>
      </c>
      <c r="D36" t="inlineStr">
        <is>
          <t>Program Distribution Equity Ratio</t>
        </is>
      </c>
      <c r="E36" t="inlineStr">
        <is>
          <t>PDER_Calculated</t>
        </is>
      </c>
      <c r="F36" t="inlineStr">
        <is>
          <t>Calculated</t>
        </is>
      </c>
    </row>
    <row r="37">
      <c r="A37" t="inlineStr">
        <is>
          <t>Program_Share</t>
        </is>
      </c>
      <c r="B37" t="inlineStr">
        <is>
          <t>Decimal</t>
        </is>
      </c>
      <c r="C37" t="inlineStr">
        <is>
          <t>0-1</t>
        </is>
      </c>
      <c r="D37" t="inlineStr">
        <is>
          <t>District's share of total state programs</t>
        </is>
      </c>
      <c r="E37" t="inlineStr">
        <is>
          <t>PDER_Calculated</t>
        </is>
      </c>
      <c r="F37" t="inlineStr">
        <is>
          <t>Division</t>
        </is>
      </c>
    </row>
    <row r="38">
      <c r="A38" t="inlineStr">
        <is>
          <t>Enrollment_Share</t>
        </is>
      </c>
      <c r="B38" t="inlineStr">
        <is>
          <t>Decimal</t>
        </is>
      </c>
      <c r="C38" t="inlineStr">
        <is>
          <t>0-1</t>
        </is>
      </c>
      <c r="D38" t="inlineStr">
        <is>
          <t>District's share of total state enrollment</t>
        </is>
      </c>
      <c r="E38" t="inlineStr">
        <is>
          <t>PDER_Calculated</t>
        </is>
      </c>
      <c r="F38" t="inlineStr">
        <is>
          <t>Division</t>
        </is>
      </c>
    </row>
    <row r="39">
      <c r="A39" t="inlineStr">
        <is>
          <t>PDER_Interpretation</t>
        </is>
      </c>
      <c r="B39" t="inlineStr">
        <is>
          <t>Text</t>
        </is>
      </c>
      <c r="C39" t="inlineStr">
        <is>
          <t>6 categories</t>
        </is>
      </c>
      <c r="D39" t="inlineStr">
        <is>
          <t>Categorical equity assessment</t>
        </is>
      </c>
      <c r="E39" t="inlineStr">
        <is>
          <t>PDER_Calculated</t>
        </is>
      </c>
      <c r="F39" t="inlineStr">
        <is>
          <t>IFS formula</t>
        </is>
      </c>
    </row>
    <row r="40">
      <c r="A40" t="inlineStr">
        <is>
          <t>Wage_Ratio</t>
        </is>
      </c>
      <c r="B40" t="inlineStr">
        <is>
          <t>Decimal</t>
        </is>
      </c>
      <c r="C40" t="inlineStr">
        <is>
          <t>&gt;=0</t>
        </is>
      </c>
      <c r="D40" t="inlineStr">
        <is>
          <t>Occupation wage relative to regional median</t>
        </is>
      </c>
      <c r="E40" t="inlineStr">
        <is>
          <t>Helper tables</t>
        </is>
      </c>
      <c r="F40" t="inlineStr">
        <is>
          <t>Division</t>
        </is>
      </c>
    </row>
    <row r="41">
      <c r="A41" t="inlineStr">
        <is>
          <t>Is_High_Wage_110</t>
        </is>
      </c>
      <c r="B41" t="inlineStr">
        <is>
          <t>Text</t>
        </is>
      </c>
      <c r="C41" t="inlineStr">
        <is>
          <t>Yes/No</t>
        </is>
      </c>
      <c r="D41" t="inlineStr">
        <is>
          <t>Wage &gt;= 110% of regional median</t>
        </is>
      </c>
      <c r="E41" t="inlineStr">
        <is>
          <t>Helper tables</t>
        </is>
      </c>
      <c r="F41" t="inlineStr">
        <is>
          <t>IF formula</t>
        </is>
      </c>
    </row>
    <row r="42">
      <c r="A42" t="inlineStr">
        <is>
          <t>Is_High_Wage_120</t>
        </is>
      </c>
      <c r="B42" t="inlineStr">
        <is>
          <t>Text</t>
        </is>
      </c>
      <c r="C42" t="inlineStr">
        <is>
          <t>Yes/No</t>
        </is>
      </c>
      <c r="D42" t="inlineStr">
        <is>
          <t>Wage &gt;= 120% of regional median</t>
        </is>
      </c>
      <c r="E42" t="inlineStr">
        <is>
          <t>Helper tables</t>
        </is>
      </c>
      <c r="F42" t="inlineStr">
        <is>
          <t>IF formula</t>
        </is>
      </c>
    </row>
    <row r="43">
      <c r="A43" t="inlineStr">
        <is>
          <t>Is_High_Wage_130</t>
        </is>
      </c>
      <c r="B43" t="inlineStr">
        <is>
          <t>Text</t>
        </is>
      </c>
      <c r="C43" t="inlineStr">
        <is>
          <t>Yes/No</t>
        </is>
      </c>
      <c r="D43" t="inlineStr">
        <is>
          <t>Wage &gt;= 130% of regional median</t>
        </is>
      </c>
      <c r="E43" t="inlineStr">
        <is>
          <t>Helper tables</t>
        </is>
      </c>
      <c r="F43" t="inlineStr">
        <is>
          <t>IF formula</t>
        </is>
      </c>
    </row>
    <row r="44">
      <c r="A44" t="inlineStr">
        <is>
          <t>Rank_Current</t>
        </is>
      </c>
      <c r="B44" t="inlineStr">
        <is>
          <t>Integer</t>
        </is>
      </c>
      <c r="C44" t="inlineStr">
        <is>
          <t>&gt;=1</t>
        </is>
      </c>
      <c r="D44" t="inlineStr">
        <is>
          <t>Occupation rank by current openings within region</t>
        </is>
      </c>
      <c r="E44" t="inlineStr">
        <is>
          <t>Helper tables</t>
        </is>
      </c>
      <c r="F44" t="inlineStr">
        <is>
          <t>COUNTIFS</t>
        </is>
      </c>
    </row>
    <row r="45">
      <c r="A45" t="inlineStr">
        <is>
          <t>Rank_10yr</t>
        </is>
      </c>
      <c r="B45" t="inlineStr">
        <is>
          <t>Integer</t>
        </is>
      </c>
      <c r="C45" t="inlineStr">
        <is>
          <t>&gt;=1</t>
        </is>
      </c>
      <c r="D45" t="inlineStr">
        <is>
          <t>Occupation rank by 10-year openings within region</t>
        </is>
      </c>
      <c r="E45" t="inlineStr">
        <is>
          <t>Helper tables</t>
        </is>
      </c>
      <c r="F45" t="inlineStr">
        <is>
          <t>COUNTIFS</t>
        </is>
      </c>
    </row>
    <row r="46">
      <c r="A46" t="inlineStr">
        <is>
          <t>Is_Top15_Current</t>
        </is>
      </c>
      <c r="B46" t="inlineStr">
        <is>
          <t>Text</t>
        </is>
      </c>
      <c r="C46" t="inlineStr">
        <is>
          <t>Yes/No</t>
        </is>
      </c>
      <c r="D46" t="inlineStr">
        <is>
          <t>Occupation in top 15 by current openings</t>
        </is>
      </c>
      <c r="E46" t="inlineStr">
        <is>
          <t>Helper tables</t>
        </is>
      </c>
      <c r="F46" t="inlineStr">
        <is>
          <t>IF formula</t>
        </is>
      </c>
    </row>
    <row r="47">
      <c r="A47" t="inlineStr">
        <is>
          <t>Is_Top20_Current</t>
        </is>
      </c>
      <c r="B47" t="inlineStr">
        <is>
          <t>Text</t>
        </is>
      </c>
      <c r="C47" t="inlineStr">
        <is>
          <t>Yes/No</t>
        </is>
      </c>
      <c r="D47" t="inlineStr">
        <is>
          <t>Occupation in top 20 by current openings</t>
        </is>
      </c>
      <c r="E47" t="inlineStr">
        <is>
          <t>Helper tables</t>
        </is>
      </c>
      <c r="F47" t="inlineStr">
        <is>
          <t>IF formula</t>
        </is>
      </c>
    </row>
    <row r="48">
      <c r="A48" t="inlineStr">
        <is>
          <t>Aligned_[Config]</t>
        </is>
      </c>
      <c r="B48" t="inlineStr">
        <is>
          <t>Text</t>
        </is>
      </c>
      <c r="C48" t="inlineStr">
        <is>
          <t>Yes/No</t>
        </is>
      </c>
      <c r="D48" t="inlineStr">
        <is>
          <t>Program aligned under specific configuration (12 variants)</t>
        </is>
      </c>
      <c r="E48" t="inlineStr">
        <is>
          <t>Helper tables</t>
        </is>
      </c>
      <c r="F48" t="inlineStr">
        <is>
          <t>AND formula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E6E6FA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70" customWidth="1" min="4" max="4"/>
    <col width="35" customWidth="1" min="5" max="5"/>
  </cols>
  <sheetData>
    <row r="1">
      <c r="A1" s="2" t="inlineStr">
        <is>
          <t>Formula_Name</t>
        </is>
      </c>
      <c r="B1" s="2" t="inlineStr">
        <is>
          <t>Sheet_Location</t>
        </is>
      </c>
      <c r="C1" s="2" t="inlineStr">
        <is>
          <t>Formula_Text</t>
        </is>
      </c>
      <c r="D1" s="2" t="inlineStr">
        <is>
          <t>Plain_Language_Explanation</t>
        </is>
      </c>
      <c r="E1" s="2" t="inlineStr">
        <is>
          <t>Example</t>
        </is>
      </c>
    </row>
    <row r="2">
      <c r="A2" t="inlineStr">
        <is>
          <t>Locale_Category</t>
        </is>
      </c>
      <c r="B2" t="inlineStr">
        <is>
          <t>Districts_Clean, Column E</t>
        </is>
      </c>
      <c r="C2">
        <f>IFS([@Locale_Code]&lt;=13,"City",[@Locale_Code]&lt;=23,"Suburb",[@Locale_Code]&lt;=33,"Town",TRUE,"Rural")</f>
        <v/>
      </c>
      <c r="D2" t="inlineStr">
        <is>
          <t>If locale code 11-13 then City; 21-23 then Suburb; 31-33 then Town; 41-43 then Rural</t>
        </is>
      </c>
      <c r="E2" t="inlineStr">
        <is>
          <t>Locale_Code=11 → City</t>
        </is>
      </c>
    </row>
    <row r="3">
      <c r="A3" t="inlineStr">
        <is>
          <t>Locale_Label</t>
        </is>
      </c>
      <c r="B3" t="inlineStr">
        <is>
          <t>Districts_Clean, Column F</t>
        </is>
      </c>
      <c r="C3">
        <f>IFS([@Locale_Code]=11,"City-Large",[...12 conditions...])</f>
        <v/>
      </c>
      <c r="D3" t="inlineStr">
        <is>
          <t>Maps each 2-digit locale code to detailed 12-category classification</t>
        </is>
      </c>
      <c r="E3" t="inlineStr">
        <is>
          <t>Locale_Code=21 → Suburb-Large</t>
        </is>
      </c>
    </row>
    <row r="4">
      <c r="A4" t="inlineStr">
        <is>
          <t>Has_CTE</t>
        </is>
      </c>
      <c r="B4" t="inlineStr">
        <is>
          <t>Districts_Clean, Column J</t>
        </is>
      </c>
      <c r="C4">
        <f>IF(COUNTIFS(tbl_Programs_Raw[NCES_ID],[@NCES_ID])&gt;0,"Yes","No")</f>
        <v/>
      </c>
      <c r="D4" t="inlineStr">
        <is>
          <t>Checks if district has any programs in Programs_Raw table; Yes if count &gt; 0</t>
        </is>
      </c>
      <c r="E4" t="inlineStr">
        <is>
          <t>NCES_ID has 3 programs → Yes</t>
        </is>
      </c>
    </row>
    <row r="5">
      <c r="A5" t="inlineStr">
        <is>
          <t>CEPD_Region</t>
        </is>
      </c>
      <c r="B5" t="inlineStr">
        <is>
          <t>Districts_Clean, Column K</t>
        </is>
      </c>
      <c r="C5">
        <f>IFERROR(VLOOKUP([@County],tbl_Geographic_Crosswalk,2,FALSE),"Unknown")</f>
        <v/>
      </c>
      <c r="D5" t="inlineStr">
        <is>
          <t>Looks up county in Geographic_Crosswalk and returns CEPD_Region (column 2)</t>
        </is>
      </c>
      <c r="E5" t="inlineStr">
        <is>
          <t>Wayne County → Southeast</t>
        </is>
      </c>
    </row>
    <row r="6">
      <c r="A6" t="inlineStr">
        <is>
          <t>Is_InHouse</t>
        </is>
      </c>
      <c r="B6" t="inlineStr">
        <is>
          <t>Programs_Fractional, Column F</t>
        </is>
      </c>
      <c r="C6">
        <f>IF(LEFT(TEXT([@Building_Code],"00000000"),5)=LEFT(TEXT([@NCES_ID],"00000000"),5),"Yes","No")</f>
        <v/>
      </c>
      <c r="D6" t="inlineStr">
        <is>
          <t>Compares first 5 digits of Building_Code to first 5 of NCES_ID; match means in-house</t>
        </is>
      </c>
      <c r="E6" t="inlineStr">
        <is>
          <t>Building 26000100, NCES 2600010 → Yes</t>
        </is>
      </c>
    </row>
    <row r="7">
      <c r="A7" t="inlineStr">
        <is>
          <t>Sharing_Count</t>
        </is>
      </c>
      <c r="B7" t="inlineStr">
        <is>
          <t>Programs_Fractional, Column G</t>
        </is>
      </c>
      <c r="C7">
        <f>IF([@Is_InHouse]="Yes",1,COUNTIFS(tbl_Programs_Raw[Building_Code],[@Building_Code]))</f>
        <v/>
      </c>
      <c r="D7" t="inlineStr">
        <is>
          <t>If in-house return 1; otherwise count how many districts share this Building_Code</t>
        </is>
      </c>
      <c r="E7" t="inlineStr">
        <is>
          <t>Building 81050100 shared by 3 districts → 3</t>
        </is>
      </c>
    </row>
    <row r="8">
      <c r="A8" t="inlineStr">
        <is>
          <t>Fractional_Credit</t>
        </is>
      </c>
      <c r="B8" t="inlineStr">
        <is>
          <t>Programs_Fractional, Column H</t>
        </is>
      </c>
      <c r="C8">
        <f>IF([@Is_InHouse]="Yes",1,1/[@Sharing_Count])</f>
        <v/>
      </c>
      <c r="D8" t="inlineStr">
        <is>
          <t>If program in-house get full credit (1.0); if shared divide 1 by number of sharing districts</t>
        </is>
      </c>
      <c r="E8" t="inlineStr">
        <is>
          <t>3 districts share program → each gets 0.333</t>
        </is>
      </c>
    </row>
    <row r="9">
      <c r="A9" t="inlineStr">
        <is>
          <t>StatePathways_Count</t>
        </is>
      </c>
      <c r="B9" t="inlineStr">
        <is>
          <t>Parameters, Named Range</t>
        </is>
      </c>
      <c r="C9">
        <f>Parameters!$B$2</f>
        <v/>
      </c>
      <c r="D9" t="inlineStr">
        <is>
          <t>Total number of CTE pathways available statewide (user-defined parameter)</t>
        </is>
      </c>
      <c r="E9" t="inlineStr">
        <is>
          <t>Default value = 50</t>
        </is>
      </c>
    </row>
    <row r="10">
      <c r="A10" t="inlineStr">
        <is>
          <t>State_Total_Programs</t>
        </is>
      </c>
      <c r="B10" t="inlineStr">
        <is>
          <t>Named Range</t>
        </is>
      </c>
      <c r="C10">
        <f>SUM(tbl_Programs_Fractional[Fractional_Credit])</f>
        <v/>
      </c>
      <c r="D10" t="inlineStr">
        <is>
          <t>Sum all fractional credits across all districts; represents total program availability</t>
        </is>
      </c>
      <c r="E10" t="inlineStr">
        <is>
          <t>Used in PDER calculations</t>
        </is>
      </c>
    </row>
    <row r="11">
      <c r="A11" t="inlineStr">
        <is>
          <t>State_Total_Enrollment</t>
        </is>
      </c>
      <c r="B11" t="inlineStr">
        <is>
          <t>Named Range</t>
        </is>
      </c>
      <c r="C11">
        <f>SUM(tbl_Districts_Clean[Enrollment])</f>
        <v/>
      </c>
      <c r="D11" t="inlineStr">
        <is>
          <t>Sum enrollment across all districts in cleaned data</t>
        </is>
      </c>
      <c r="E11" t="inlineStr">
        <is>
          <t>Used in PDER calculations</t>
        </is>
      </c>
    </row>
    <row r="12">
      <c r="A12" t="inlineStr">
        <is>
          <t>OCQ</t>
        </is>
      </c>
      <c r="B12" t="inlineStr">
        <is>
          <t>OCQ_Calculated, Column E</t>
        </is>
      </c>
      <c r="C12">
        <f>IF([@Total_Programs]=0,0,[@Total_Programs]/[@StatePathways_Count]*100)</f>
        <v/>
      </c>
      <c r="D12" t="inlineStr">
        <is>
          <t>If district has no programs return 0; otherwise divide total programs by state pathways and multiply by 100 to get percentage</t>
        </is>
      </c>
      <c r="E12" t="inlineStr">
        <is>
          <t>25 programs ÷ 50 pathways = 50%</t>
        </is>
      </c>
    </row>
    <row r="13">
      <c r="A13" t="inlineStr">
        <is>
          <t>OCQ_Category</t>
        </is>
      </c>
      <c r="B13" t="inlineStr">
        <is>
          <t>OCQ_Calculated, Column F</t>
        </is>
      </c>
      <c r="C13">
        <f>IFS([@OCQ]=0,"No CTE",[@OCQ]&lt;25,"Limited (&lt;25%)",[...5 conditions])</f>
        <v/>
      </c>
      <c r="D13" t="inlineStr">
        <is>
          <t>Categorizes OCQ into 5 tiers based on coverage level</t>
        </is>
      </c>
      <c r="E13" t="inlineStr">
        <is>
          <t>OCQ=35% → Moderate (25-50%)</t>
        </is>
      </c>
    </row>
    <row r="14">
      <c r="A14" t="inlineStr">
        <is>
          <t>PDER</t>
        </is>
      </c>
      <c r="B14" t="inlineStr">
        <is>
          <t>PDER_Calculated, Column G</t>
        </is>
      </c>
      <c r="C14">
        <f>IF([@Enrollment_Share]=0,0,[@Program_Share]/[@Enrollment_Share])</f>
        <v/>
      </c>
      <c r="D14" t="inlineStr">
        <is>
          <t>Divides program share by enrollment share; 1.0 = equity, &lt;1.0 = underserved, &gt;1.0 = overserved</t>
        </is>
      </c>
      <c r="E14" t="inlineStr">
        <is>
          <t>Prog 2%, Enroll 1% → PDER=2.0</t>
        </is>
      </c>
    </row>
    <row r="15">
      <c r="A15" t="inlineStr">
        <is>
          <t>Program_Share</t>
        </is>
      </c>
      <c r="B15" t="inlineStr">
        <is>
          <t>PDER_Calculated, Column E</t>
        </is>
      </c>
      <c r="C15">
        <f>IF(State_Total_Programs=0,0,[@Total_Programs]/State_Total_Programs)</f>
        <v/>
      </c>
      <c r="D15" t="inlineStr">
        <is>
          <t>District's programs divided by total state programs</t>
        </is>
      </c>
      <c r="E15" t="inlineStr">
        <is>
          <t>5 programs ÷ 100 state total = 5%</t>
        </is>
      </c>
    </row>
    <row r="16">
      <c r="A16" t="inlineStr">
        <is>
          <t>State_Total_Programs</t>
        </is>
      </c>
      <c r="B16" t="inlineStr">
        <is>
          <t>Named Range</t>
        </is>
      </c>
      <c r="C16">
        <f>SUM(tbl_Programs_Fractional[Fractional_Credit])</f>
        <v/>
      </c>
      <c r="D16" t="inlineStr">
        <is>
          <t>Sum of all fractional credits across all districts</t>
        </is>
      </c>
      <c r="E16" t="inlineStr">
        <is>
          <t>Used in PDER calculations</t>
        </is>
      </c>
    </row>
    <row r="17">
      <c r="A17" t="inlineStr">
        <is>
          <t>State_Total_Enrollment</t>
        </is>
      </c>
      <c r="B17" t="inlineStr">
        <is>
          <t>Named Range</t>
        </is>
      </c>
      <c r="C17">
        <f>SUM(tbl_Districts_Clean[Enrollment])</f>
        <v/>
      </c>
      <c r="D17" t="inlineStr">
        <is>
          <t>Total enrollment across all districts</t>
        </is>
      </c>
      <c r="E17" t="inlineStr">
        <is>
          <t>Used in PDER calculations</t>
        </is>
      </c>
    </row>
    <row r="18">
      <c r="A18" t="inlineStr">
        <is>
          <t>Wage_Ratio</t>
        </is>
      </c>
      <c r="B18" t="inlineStr">
        <is>
          <t>Helper tables, Column L</t>
        </is>
      </c>
      <c r="C18">
        <f>IF([@Regional_Median_Wage]=0,0,[@Median_Wage]/[@Regional_Median_Wage])</f>
        <v/>
      </c>
      <c r="D18" t="inlineStr">
        <is>
          <t>Occupation median wage divided by regional median wage</t>
        </is>
      </c>
      <c r="E18" t="inlineStr">
        <is>
          <t>$54K wage ÷ $45K regional = 1.20</t>
        </is>
      </c>
    </row>
    <row r="19">
      <c r="A19" t="inlineStr">
        <is>
          <t>Rank_Current</t>
        </is>
      </c>
      <c r="B19" t="inlineStr">
        <is>
          <t>Helper tables, Column P</t>
        </is>
      </c>
      <c r="C19">
        <f>IF([@Annual_Openings_Current]=0,999,COUNTIFS(tbl_Labor_County[County],[@County],tbl_Labor_County[Annual_Openings_Current],"&gt;"&amp;[@Annual_Openings_Current])+1)</f>
        <v/>
      </c>
      <c r="D19" t="inlineStr">
        <is>
          <t>Counts how many occupations in same region have MORE openings, then adds 1 for rank</t>
        </is>
      </c>
      <c r="E19" t="inlineStr">
        <is>
          <t>3 occupations with more openings → Rank 4</t>
        </is>
      </c>
    </row>
    <row r="20">
      <c r="A20" t="inlineStr">
        <is>
          <t>Aligned_120_Top15_Current</t>
        </is>
      </c>
      <c r="B20" t="inlineStr">
        <is>
          <t>Helper tables, Column Z</t>
        </is>
      </c>
      <c r="C20">
        <f>IF(AND([@Is_High_Wage_120]="Yes",[@Is_Top15_Current]="Yes"),"Yes","No")</f>
        <v/>
      </c>
      <c r="D20" t="inlineStr">
        <is>
          <t>Returns Yes only if occupation meets BOTH wage threshold (120%) AND rank threshold (Top 15) for current period</t>
        </is>
      </c>
      <c r="E20" t="inlineStr">
        <is>
          <t>High wage + Rank 12 → Aligned</t>
        </is>
      </c>
    </row>
    <row r="21">
      <c r="A21" t="inlineStr">
        <is>
          <t>Helper Table Logic</t>
        </is>
      </c>
      <c r="B21" t="inlineStr">
        <is>
          <t>Multiple columns</t>
        </is>
      </c>
      <c r="C21" t="inlineStr">
        <is>
          <t>[32-column structure]</t>
        </is>
      </c>
      <c r="D21" t="inlineStr">
        <is>
          <t>Helper tables pre-calculate all alignment flags to make PAI formulas simple SUMIFS operations instead of nested lookups</t>
        </is>
      </c>
      <c r="E21" t="inlineStr">
        <is>
          <t>See full helper documentation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90EE9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Total_Programs</t>
        </is>
      </c>
      <c r="D1" s="2" t="inlineStr">
        <is>
          <t>District_Enrollment</t>
        </is>
      </c>
      <c r="E1" s="2" t="inlineStr">
        <is>
          <t>Program_Share</t>
        </is>
      </c>
      <c r="F1" s="2" t="inlineStr">
        <is>
          <t>Enrollment_Share</t>
        </is>
      </c>
      <c r="G1" s="2" t="inlineStr">
        <is>
          <t>PDER</t>
        </is>
      </c>
      <c r="H1" s="2" t="inlineStr">
        <is>
          <t>PDER_Interpretation</t>
        </is>
      </c>
    </row>
    <row r="2">
      <c r="A2" t="inlineStr">
        <is>
          <t>2600010</t>
        </is>
      </c>
      <c r="B2" t="inlineStr">
        <is>
          <t>Detroit Public Schools</t>
        </is>
      </c>
      <c r="C2">
        <f>SUMIFS(tbl_Programs_Fractional[Fractional_Credit],tbl_Programs_Fractional[NCES_ID],A2)</f>
        <v/>
      </c>
      <c r="D2">
        <f>IFERROR(INDEX(tbl_Districts_Clean[Enrollment],MATCH(A2,tbl_Districts_Clean[NCES_ID],0)),0)</f>
        <v/>
      </c>
      <c r="E2">
        <f>IF(State_Total_Programs=0,0,C2/State_Total_Programs)</f>
        <v/>
      </c>
      <c r="F2">
        <f>IF(State_Total_Enrollment=0,0,D2/State_Total_Enrollment)</f>
        <v/>
      </c>
      <c r="G2">
        <f>IF(F2=0,0,E2/F2)</f>
        <v/>
      </c>
      <c r="H2">
        <f>IFS(G2=0,"No Programs",G2&lt;0.5,"Severely Under-Represented",G2&lt;0.8,"Under-Represented",G2&lt;=1.2,"Equitable",G2&lt;=2.0,"Over-Represented",TRUE,"Highly Over-Represented")</f>
        <v/>
      </c>
    </row>
    <row r="3">
      <c r="A3" t="inlineStr">
        <is>
          <t>2600020</t>
        </is>
      </c>
      <c r="B3" t="inlineStr">
        <is>
          <t>Ann Arbor Public Schools</t>
        </is>
      </c>
      <c r="C3">
        <f>SUMIFS(tbl_Programs_Fractional[Fractional_Credit],tbl_Programs_Fractional[NCES_ID],A3)</f>
        <v/>
      </c>
      <c r="D3">
        <f>IFERROR(INDEX(tbl_Districts_Clean[Enrollment],MATCH(A3,tbl_Districts_Clean[NCES_ID],0)),0)</f>
        <v/>
      </c>
      <c r="E3">
        <f>IF(State_Total_Programs=0,0,C3/State_Total_Programs)</f>
        <v/>
      </c>
      <c r="F3">
        <f>IF(State_Total_Enrollment=0,0,D3/State_Total_Enrollment)</f>
        <v/>
      </c>
      <c r="G3">
        <f>IF(F3=0,0,E3/F3)</f>
        <v/>
      </c>
      <c r="H3">
        <f>IFS(G3=0,"No Programs",G3&lt;0.5,"Severely Under-Represented",G3&lt;0.8,"Under-Represented",G3&lt;=1.2,"Equitable",G3&lt;=2.0,"Over-Represented",TRUE,"Highly Over-Represented")</f>
        <v/>
      </c>
    </row>
    <row r="4">
      <c r="A4" t="inlineStr">
        <is>
          <t>2601234</t>
        </is>
      </c>
      <c r="B4" t="inlineStr">
        <is>
          <t>Traverse City Area PS</t>
        </is>
      </c>
      <c r="C4">
        <f>SUMIFS(tbl_Programs_Fractional[Fractional_Credit],tbl_Programs_Fractional[NCES_ID],A4)</f>
        <v/>
      </c>
      <c r="D4">
        <f>IFERROR(INDEX(tbl_Districts_Clean[Enrollment],MATCH(A4,tbl_Districts_Clean[NCES_ID],0)),0)</f>
        <v/>
      </c>
      <c r="E4">
        <f>IF(State_Total_Programs=0,0,C4/State_Total_Programs)</f>
        <v/>
      </c>
      <c r="F4">
        <f>IF(State_Total_Enrollment=0,0,D4/State_Total_Enrollment)</f>
        <v/>
      </c>
      <c r="G4">
        <f>IF(F4=0,0,E4/F4)</f>
        <v/>
      </c>
      <c r="H4">
        <f>IFS(G4=0,"No Programs",G4&lt;0.5,"Severely Under-Represented",G4&lt;0.8,"Under-Represented",G4&lt;=1.2,"Equitable",G4&lt;=2.0,"Over-Represented",TRUE,"Highly Over-Represented")</f>
        <v/>
      </c>
    </row>
    <row r="5">
      <c r="A5" t="inlineStr">
        <is>
          <t>2605678</t>
        </is>
      </c>
      <c r="B5" t="inlineStr">
        <is>
          <t>Frankenmuth School District</t>
        </is>
      </c>
      <c r="C5">
        <f>SUMIFS(tbl_Programs_Fractional[Fractional_Credit],tbl_Programs_Fractional[NCES_ID],A5)</f>
        <v/>
      </c>
      <c r="D5">
        <f>IFERROR(INDEX(tbl_Districts_Clean[Enrollment],MATCH(A5,tbl_Districts_Clean[NCES_ID],0)),0)</f>
        <v/>
      </c>
      <c r="E5">
        <f>IF(State_Total_Programs=0,0,C5/State_Total_Programs)</f>
        <v/>
      </c>
      <c r="F5">
        <f>IF(State_Total_Enrollment=0,0,D5/State_Total_Enrollment)</f>
        <v/>
      </c>
      <c r="G5">
        <f>IF(F5=0,0,E5/F5)</f>
        <v/>
      </c>
      <c r="H5">
        <f>IFS(G5=0,"No Programs",G5&lt;0.5,"Severely Under-Represented",G5&lt;0.8,"Under-Represented",G5&lt;=1.2,"Equitable",G5&lt;=2.0,"Over-Represented",TRUE,"Highly Over-Represented")</f>
        <v/>
      </c>
    </row>
    <row r="6">
      <c r="A6" t="inlineStr">
        <is>
          <t>2609876</t>
        </is>
      </c>
      <c r="B6" t="inlineStr">
        <is>
          <t>Onaway Area Community SD</t>
        </is>
      </c>
      <c r="C6">
        <f>SUMIFS(tbl_Programs_Fractional[Fractional_Credit],tbl_Programs_Fractional[NCES_ID],A6)</f>
        <v/>
      </c>
      <c r="D6">
        <f>IFERROR(INDEX(tbl_Districts_Clean[Enrollment],MATCH(A6,tbl_Districts_Clean[NCES_ID],0)),0)</f>
        <v/>
      </c>
      <c r="E6">
        <f>IF(State_Total_Programs=0,0,C6/State_Total_Programs)</f>
        <v/>
      </c>
      <c r="F6">
        <f>IF(State_Total_Enrollment=0,0,D6/State_Total_Enrollment)</f>
        <v/>
      </c>
      <c r="G6">
        <f>IF(F6=0,0,E6/F6)</f>
        <v/>
      </c>
      <c r="H6">
        <f>IFS(G6=0,"No Programs",G6&lt;0.5,"Severely Under-Represented",G6&lt;0.8,"Under-Represented",G6&lt;=1.2,"Equitable",G6&lt;=2.0,"Over-Represented",TRUE,"Highly Over-Represented")</f>
        <v/>
      </c>
    </row>
    <row r="7">
      <c r="A7" t="inlineStr">
        <is>
          <t>2602345</t>
        </is>
      </c>
      <c r="B7" t="inlineStr">
        <is>
          <t>Grand Rapids Public Schools</t>
        </is>
      </c>
      <c r="C7">
        <f>SUMIFS(tbl_Programs_Fractional[Fractional_Credit],tbl_Programs_Fractional[NCES_ID],A7)</f>
        <v/>
      </c>
      <c r="D7">
        <f>IFERROR(INDEX(tbl_Districts_Clean[Enrollment],MATCH(A7,tbl_Districts_Clean[NCES_ID],0)),0)</f>
        <v/>
      </c>
      <c r="E7">
        <f>IF(State_Total_Programs=0,0,C7/State_Total_Programs)</f>
        <v/>
      </c>
      <c r="F7">
        <f>IF(State_Total_Enrollment=0,0,D7/State_Total_Enrollment)</f>
        <v/>
      </c>
      <c r="G7">
        <f>IF(F7=0,0,E7/F7)</f>
        <v/>
      </c>
      <c r="H7">
        <f>IFS(G7=0,"No Programs",G7&lt;0.5,"Severely Under-Represented",G7&lt;0.8,"Under-Represented",G7&lt;=1.2,"Equitable",G7&lt;=2.0,"Over-Represented",TRUE,"Highly Over-Represented")</f>
        <v/>
      </c>
    </row>
    <row r="8">
      <c r="A8" t="inlineStr">
        <is>
          <t>2603456</t>
        </is>
      </c>
      <c r="B8" t="inlineStr">
        <is>
          <t>Novi Community Schools</t>
        </is>
      </c>
      <c r="C8">
        <f>SUMIFS(tbl_Programs_Fractional[Fractional_Credit],tbl_Programs_Fractional[NCES_ID],A8)</f>
        <v/>
      </c>
      <c r="D8">
        <f>IFERROR(INDEX(tbl_Districts_Clean[Enrollment],MATCH(A8,tbl_Districts_Clean[NCES_ID],0)),0)</f>
        <v/>
      </c>
      <c r="E8">
        <f>IF(State_Total_Programs=0,0,C8/State_Total_Programs)</f>
        <v/>
      </c>
      <c r="F8">
        <f>IF(State_Total_Enrollment=0,0,D8/State_Total_Enrollment)</f>
        <v/>
      </c>
      <c r="G8">
        <f>IF(F8=0,0,E8/F8)</f>
        <v/>
      </c>
      <c r="H8">
        <f>IFS(G8=0,"No Programs",G8&lt;0.5,"Severely Under-Represented",G8&lt;0.8,"Under-Represented",G8&lt;=1.2,"Equitable",G8&lt;=2.0,"Over-Represented",TRUE,"Highly Over-Represented")</f>
        <v/>
      </c>
    </row>
    <row r="9">
      <c r="A9" t="inlineStr">
        <is>
          <t>2604567</t>
        </is>
      </c>
      <c r="B9" t="inlineStr">
        <is>
          <t>East Lansing Public Schools</t>
        </is>
      </c>
      <c r="C9">
        <f>SUMIFS(tbl_Programs_Fractional[Fractional_Credit],tbl_Programs_Fractional[NCES_ID],A9)</f>
        <v/>
      </c>
      <c r="D9">
        <f>IFERROR(INDEX(tbl_Districts_Clean[Enrollment],MATCH(A9,tbl_Districts_Clean[NCES_ID],0)),0)</f>
        <v/>
      </c>
      <c r="E9">
        <f>IF(State_Total_Programs=0,0,C9/State_Total_Programs)</f>
        <v/>
      </c>
      <c r="F9">
        <f>IF(State_Total_Enrollment=0,0,D9/State_Total_Enrollment)</f>
        <v/>
      </c>
      <c r="G9">
        <f>IF(F9=0,0,E9/F9)</f>
        <v/>
      </c>
      <c r="H9">
        <f>IFS(G9=0,"No Programs",G9&lt;0.5,"Severely Under-Represented",G9&lt;0.8,"Under-Represented",G9&lt;=1.2,"Equitable",G9&lt;=2.0,"Over-Represented",TRUE,"Highly Over-Represented")</f>
        <v/>
      </c>
    </row>
    <row r="10">
      <c r="A10" t="inlineStr">
        <is>
          <t>2606789</t>
        </is>
      </c>
      <c r="B10" t="inlineStr">
        <is>
          <t>Petoskey Public Schools</t>
        </is>
      </c>
      <c r="C10">
        <f>SUMIFS(tbl_Programs_Fractional[Fractional_Credit],tbl_Programs_Fractional[NCES_ID],A10)</f>
        <v/>
      </c>
      <c r="D10">
        <f>IFERROR(INDEX(tbl_Districts_Clean[Enrollment],MATCH(A10,tbl_Districts_Clean[NCES_ID],0)),0)</f>
        <v/>
      </c>
      <c r="E10">
        <f>IF(State_Total_Programs=0,0,C10/State_Total_Programs)</f>
        <v/>
      </c>
      <c r="F10">
        <f>IF(State_Total_Enrollment=0,0,D10/State_Total_Enrollment)</f>
        <v/>
      </c>
      <c r="G10">
        <f>IF(F10=0,0,E10/F10)</f>
        <v/>
      </c>
      <c r="H10">
        <f>IFS(G10=0,"No Programs",G10&lt;0.5,"Severely Under-Represented",G10&lt;0.8,"Under-Represented",G10&lt;=1.2,"Equitable",G10&lt;=2.0,"Over-Represented",TRUE,"Highly Over-Represented")</f>
        <v/>
      </c>
    </row>
    <row r="11">
      <c r="A11" t="inlineStr">
        <is>
          <t>2607890</t>
        </is>
      </c>
      <c r="B11" t="inlineStr">
        <is>
          <t>Manistique Area Schools</t>
        </is>
      </c>
      <c r="C11">
        <f>SUMIFS(tbl_Programs_Fractional[Fractional_Credit],tbl_Programs_Fractional[NCES_ID],A11)</f>
        <v/>
      </c>
      <c r="D11">
        <f>IFERROR(INDEX(tbl_Districts_Clean[Enrollment],MATCH(A11,tbl_Districts_Clean[NCES_ID],0)),0)</f>
        <v/>
      </c>
      <c r="E11">
        <f>IF(State_Total_Programs=0,0,C11/State_Total_Programs)</f>
        <v/>
      </c>
      <c r="F11">
        <f>IF(State_Total_Enrollment=0,0,D11/State_Total_Enrollment)</f>
        <v/>
      </c>
      <c r="G11">
        <f>IF(F11=0,0,E11/F11)</f>
        <v/>
      </c>
      <c r="H11">
        <f>IFS(G11=0,"No Programs",G11&lt;0.5,"Severely Under-Represented",G11&lt;0.8,"Under-Represented",G11&lt;=1.2,"Equitable",G11&lt;=2.0,"Over-Represented",TRUE,"Highly Over-Represented")</f>
        <v/>
      </c>
    </row>
    <row r="12">
      <c r="A12" t="inlineStr">
        <is>
          <t>2608901</t>
        </is>
      </c>
      <c r="B12" t="inlineStr">
        <is>
          <t>Ironwood Area Schools</t>
        </is>
      </c>
      <c r="C12">
        <f>SUMIFS(tbl_Programs_Fractional[Fractional_Credit],tbl_Programs_Fractional[NCES_ID],A12)</f>
        <v/>
      </c>
      <c r="D12">
        <f>IFERROR(INDEX(tbl_Districts_Clean[Enrollment],MATCH(A12,tbl_Districts_Clean[NCES_ID],0)),0)</f>
        <v/>
      </c>
      <c r="E12">
        <f>IF(State_Total_Programs=0,0,C12/State_Total_Programs)</f>
        <v/>
      </c>
      <c r="F12">
        <f>IF(State_Total_Enrollment=0,0,D12/State_Total_Enrollment)</f>
        <v/>
      </c>
      <c r="G12">
        <f>IF(F12=0,0,E12/F12)</f>
        <v/>
      </c>
      <c r="H12">
        <f>IFS(G12=0,"No Programs",G12&lt;0.5,"Severely Under-Represented",G12&lt;0.8,"Under-Represented",G12&lt;=1.2,"Equitable",G12&lt;=2.0,"Over-Represented",TRUE,"Highly Over-Represented")</f>
        <v/>
      </c>
    </row>
    <row r="13">
      <c r="A13" t="inlineStr">
        <is>
          <t>2600234</t>
        </is>
      </c>
      <c r="B13" t="inlineStr">
        <is>
          <t>Livonia Public Schools</t>
        </is>
      </c>
      <c r="C13">
        <f>SUMIFS(tbl_Programs_Fractional[Fractional_Credit],tbl_Programs_Fractional[NCES_ID],A13)</f>
        <v/>
      </c>
      <c r="D13">
        <f>IFERROR(INDEX(tbl_Districts_Clean[Enrollment],MATCH(A13,tbl_Districts_Clean[NCES_ID],0)),0)</f>
        <v/>
      </c>
      <c r="E13">
        <f>IF(State_Total_Programs=0,0,C13/State_Total_Programs)</f>
        <v/>
      </c>
      <c r="F13">
        <f>IF(State_Total_Enrollment=0,0,D13/State_Total_Enrollment)</f>
        <v/>
      </c>
      <c r="G13">
        <f>IF(F13=0,0,E13/F13)</f>
        <v/>
      </c>
      <c r="H13">
        <f>IFS(G13=0,"No Programs",G13&lt;0.5,"Severely Under-Represented",G13&lt;0.8,"Under-Represented",G13&lt;=1.2,"Equitable",G13&lt;=2.0,"Over-Represented",TRUE,"Highly Over-Represented")</f>
        <v/>
      </c>
    </row>
    <row r="14">
      <c r="A14" t="inlineStr">
        <is>
          <t>2601345</t>
        </is>
      </c>
      <c r="B14" t="inlineStr">
        <is>
          <t>Midland Public Schools</t>
        </is>
      </c>
      <c r="C14">
        <f>SUMIFS(tbl_Programs_Fractional[Fractional_Credit],tbl_Programs_Fractional[NCES_ID],A14)</f>
        <v/>
      </c>
      <c r="D14">
        <f>IFERROR(INDEX(tbl_Districts_Clean[Enrollment],MATCH(A14,tbl_Districts_Clean[NCES_ID],0)),0)</f>
        <v/>
      </c>
      <c r="E14">
        <f>IF(State_Total_Programs=0,0,C14/State_Total_Programs)</f>
        <v/>
      </c>
      <c r="F14">
        <f>IF(State_Total_Enrollment=0,0,D14/State_Total_Enrollment)</f>
        <v/>
      </c>
      <c r="G14">
        <f>IF(F14=0,0,E14/F14)</f>
        <v/>
      </c>
      <c r="H14">
        <f>IFS(G14=0,"No Programs",G14&lt;0.5,"Severely Under-Represented",G14&lt;0.8,"Under-Represented",G14&lt;=1.2,"Equitable",G14&lt;=2.0,"Over-Represented",TRUE,"Highly Over-Represented")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F0F0F0"/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Region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SOC_Code</t>
        </is>
      </c>
      <c r="G1" s="2" t="inlineStr">
        <is>
          <t>Occupation_Title</t>
        </is>
      </c>
      <c r="H1" s="2" t="inlineStr">
        <is>
          <t>Median_Wage</t>
        </is>
      </c>
      <c r="I1" s="2" t="inlineStr">
        <is>
          <t>Regional_Median_Wage</t>
        </is>
      </c>
      <c r="J1" s="2" t="inlineStr">
        <is>
          <t>Annual_Openings_Current</t>
        </is>
      </c>
      <c r="K1" s="2" t="inlineStr">
        <is>
          <t>Annual_Openings_10yr</t>
        </is>
      </c>
      <c r="L1" s="2" t="inlineStr">
        <is>
          <t>Wage_Ratio</t>
        </is>
      </c>
      <c r="M1" s="2" t="inlineStr">
        <is>
          <t>Is_High_Wage_110</t>
        </is>
      </c>
      <c r="N1" s="2" t="inlineStr">
        <is>
          <t>Is_High_Wage_120</t>
        </is>
      </c>
      <c r="O1" s="2" t="inlineStr">
        <is>
          <t>Is_High_Wage_130</t>
        </is>
      </c>
      <c r="P1" s="2" t="inlineStr">
        <is>
          <t>Rank_Current</t>
        </is>
      </c>
      <c r="Q1" s="2" t="inlineStr">
        <is>
          <t>Rank_10yr</t>
        </is>
      </c>
      <c r="R1" s="2" t="inlineStr">
        <is>
          <t>Is_Top15_Current</t>
        </is>
      </c>
      <c r="S1" s="2" t="inlineStr">
        <is>
          <t>Is_Top20_Current</t>
        </is>
      </c>
      <c r="T1" s="2" t="inlineStr">
        <is>
          <t>Is_Top15_10yr</t>
        </is>
      </c>
      <c r="U1" s="2" t="inlineStr">
        <is>
          <t>Is_Top20_10yr</t>
        </is>
      </c>
      <c r="V1" s="2" t="inlineStr">
        <is>
          <t>Aligned_110_Top15_Current</t>
        </is>
      </c>
      <c r="W1" s="2" t="inlineStr">
        <is>
          <t>Aligned_110_Top15_10yr</t>
        </is>
      </c>
      <c r="X1" s="2" t="inlineStr">
        <is>
          <t>Aligned_110_Top20_Current</t>
        </is>
      </c>
      <c r="Y1" s="2" t="inlineStr">
        <is>
          <t>Aligned_110_Top20_10yr</t>
        </is>
      </c>
      <c r="Z1" s="2" t="inlineStr">
        <is>
          <t>Aligned_120_Top15_Current</t>
        </is>
      </c>
      <c r="AA1" s="2" t="inlineStr">
        <is>
          <t>Aligned_120_Top15_10yr</t>
        </is>
      </c>
      <c r="AB1" s="2" t="inlineStr">
        <is>
          <t>Aligned_120_Top20_Current</t>
        </is>
      </c>
      <c r="AC1" s="2" t="inlineStr">
        <is>
          <t>Aligned_120_Top20_10yr</t>
        </is>
      </c>
      <c r="AD1" s="2" t="inlineStr">
        <is>
          <t>Aligned_130_Top15_Current</t>
        </is>
      </c>
      <c r="AE1" s="2" t="inlineStr">
        <is>
          <t>Aligned_130_Top15_10yr</t>
        </is>
      </c>
      <c r="AF1" s="2" t="inlineStr">
        <is>
          <t>Aligned_130_Top20_Current</t>
        </is>
      </c>
      <c r="AG1" s="2" t="inlineStr">
        <is>
          <t>Aligned_130_Top20_10yr</t>
        </is>
      </c>
    </row>
    <row r="2">
      <c r="A2" s="6" t="inlineStr">
        <is>
          <t>TEMPLATE: Full implementation in Phase 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0F0F0"/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Region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SOC_Code</t>
        </is>
      </c>
      <c r="G1" s="2" t="inlineStr">
        <is>
          <t>Occupation_Title</t>
        </is>
      </c>
      <c r="H1" s="2" t="inlineStr">
        <is>
          <t>Median_Wage</t>
        </is>
      </c>
      <c r="I1" s="2" t="inlineStr">
        <is>
          <t>Regional_Median_Wage</t>
        </is>
      </c>
      <c r="J1" s="2" t="inlineStr">
        <is>
          <t>Annual_Openings_Current</t>
        </is>
      </c>
      <c r="K1" s="2" t="inlineStr">
        <is>
          <t>Annual_Openings_10yr</t>
        </is>
      </c>
      <c r="L1" s="2" t="inlineStr">
        <is>
          <t>Wage_Ratio</t>
        </is>
      </c>
      <c r="M1" s="2" t="inlineStr">
        <is>
          <t>Is_High_Wage_110</t>
        </is>
      </c>
      <c r="N1" s="2" t="inlineStr">
        <is>
          <t>Is_High_Wage_120</t>
        </is>
      </c>
      <c r="O1" s="2" t="inlineStr">
        <is>
          <t>Is_High_Wage_130</t>
        </is>
      </c>
      <c r="P1" s="2" t="inlineStr">
        <is>
          <t>Rank_Current</t>
        </is>
      </c>
      <c r="Q1" s="2" t="inlineStr">
        <is>
          <t>Rank_10yr</t>
        </is>
      </c>
      <c r="R1" s="2" t="inlineStr">
        <is>
          <t>Is_Top15_Current</t>
        </is>
      </c>
      <c r="S1" s="2" t="inlineStr">
        <is>
          <t>Is_Top20_Current</t>
        </is>
      </c>
      <c r="T1" s="2" t="inlineStr">
        <is>
          <t>Is_Top15_10yr</t>
        </is>
      </c>
      <c r="U1" s="2" t="inlineStr">
        <is>
          <t>Is_Top20_10yr</t>
        </is>
      </c>
      <c r="V1" s="2" t="inlineStr">
        <is>
          <t>Aligned_110_Top15_Current</t>
        </is>
      </c>
      <c r="W1" s="2" t="inlineStr">
        <is>
          <t>Aligned_110_Top15_10yr</t>
        </is>
      </c>
      <c r="X1" s="2" t="inlineStr">
        <is>
          <t>Aligned_110_Top20_Current</t>
        </is>
      </c>
      <c r="Y1" s="2" t="inlineStr">
        <is>
          <t>Aligned_110_Top20_10yr</t>
        </is>
      </c>
      <c r="Z1" s="2" t="inlineStr">
        <is>
          <t>Aligned_120_Top15_Current</t>
        </is>
      </c>
      <c r="AA1" s="2" t="inlineStr">
        <is>
          <t>Aligned_120_Top15_10yr</t>
        </is>
      </c>
      <c r="AB1" s="2" t="inlineStr">
        <is>
          <t>Aligned_120_Top20_Current</t>
        </is>
      </c>
      <c r="AC1" s="2" t="inlineStr">
        <is>
          <t>Aligned_120_Top20_10yr</t>
        </is>
      </c>
      <c r="AD1" s="2" t="inlineStr">
        <is>
          <t>Aligned_130_Top15_Current</t>
        </is>
      </c>
      <c r="AE1" s="2" t="inlineStr">
        <is>
          <t>Aligned_130_Top15_10yr</t>
        </is>
      </c>
      <c r="AF1" s="2" t="inlineStr">
        <is>
          <t>Aligned_130_Top20_Current</t>
        </is>
      </c>
      <c r="AG1" s="2" t="inlineStr">
        <is>
          <t>Aligned_130_Top20_10yr</t>
        </is>
      </c>
    </row>
    <row r="2">
      <c r="A2" s="6" t="inlineStr">
        <is>
          <t>TEMPLATE: Full implementation in Phase 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0F0F0"/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Region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SOC_Code</t>
        </is>
      </c>
      <c r="G1" s="2" t="inlineStr">
        <is>
          <t>Occupation_Title</t>
        </is>
      </c>
      <c r="H1" s="2" t="inlineStr">
        <is>
          <t>Median_Wage</t>
        </is>
      </c>
      <c r="I1" s="2" t="inlineStr">
        <is>
          <t>Regional_Median_Wage</t>
        </is>
      </c>
      <c r="J1" s="2" t="inlineStr">
        <is>
          <t>Annual_Openings_Current</t>
        </is>
      </c>
      <c r="K1" s="2" t="inlineStr">
        <is>
          <t>Annual_Openings_10yr</t>
        </is>
      </c>
      <c r="L1" s="2" t="inlineStr">
        <is>
          <t>Wage_Ratio</t>
        </is>
      </c>
      <c r="M1" s="2" t="inlineStr">
        <is>
          <t>Is_High_Wage_110</t>
        </is>
      </c>
      <c r="N1" s="2" t="inlineStr">
        <is>
          <t>Is_High_Wage_120</t>
        </is>
      </c>
      <c r="O1" s="2" t="inlineStr">
        <is>
          <t>Is_High_Wage_130</t>
        </is>
      </c>
      <c r="P1" s="2" t="inlineStr">
        <is>
          <t>Rank_Current</t>
        </is>
      </c>
      <c r="Q1" s="2" t="inlineStr">
        <is>
          <t>Rank_10yr</t>
        </is>
      </c>
      <c r="R1" s="2" t="inlineStr">
        <is>
          <t>Is_Top15_Current</t>
        </is>
      </c>
      <c r="S1" s="2" t="inlineStr">
        <is>
          <t>Is_Top20_Current</t>
        </is>
      </c>
      <c r="T1" s="2" t="inlineStr">
        <is>
          <t>Is_Top15_10yr</t>
        </is>
      </c>
      <c r="U1" s="2" t="inlineStr">
        <is>
          <t>Is_Top20_10yr</t>
        </is>
      </c>
      <c r="V1" s="2" t="inlineStr">
        <is>
          <t>Aligned_110_Top15_Current</t>
        </is>
      </c>
      <c r="W1" s="2" t="inlineStr">
        <is>
          <t>Aligned_110_Top15_10yr</t>
        </is>
      </c>
      <c r="X1" s="2" t="inlineStr">
        <is>
          <t>Aligned_110_Top20_Current</t>
        </is>
      </c>
      <c r="Y1" s="2" t="inlineStr">
        <is>
          <t>Aligned_110_Top20_10yr</t>
        </is>
      </c>
      <c r="Z1" s="2" t="inlineStr">
        <is>
          <t>Aligned_120_Top15_Current</t>
        </is>
      </c>
      <c r="AA1" s="2" t="inlineStr">
        <is>
          <t>Aligned_120_Top15_10yr</t>
        </is>
      </c>
      <c r="AB1" s="2" t="inlineStr">
        <is>
          <t>Aligned_120_Top20_Current</t>
        </is>
      </c>
      <c r="AC1" s="2" t="inlineStr">
        <is>
          <t>Aligned_120_Top20_10yr</t>
        </is>
      </c>
      <c r="AD1" s="2" t="inlineStr">
        <is>
          <t>Aligned_130_Top15_Current</t>
        </is>
      </c>
      <c r="AE1" s="2" t="inlineStr">
        <is>
          <t>Aligned_130_Top15_10yr</t>
        </is>
      </c>
      <c r="AF1" s="2" t="inlineStr">
        <is>
          <t>Aligned_130_Top20_Current</t>
        </is>
      </c>
      <c r="AG1" s="2" t="inlineStr">
        <is>
          <t>Aligned_130_Top20_10yr</t>
        </is>
      </c>
    </row>
    <row r="2">
      <c r="A2" s="6" t="inlineStr">
        <is>
          <t>TEMPLATE: Full implementation in Phase 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0F0F0"/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2" t="inlineStr">
        <is>
          <t>NCES_ID</t>
        </is>
      </c>
      <c r="B1" s="2" t="inlineStr">
        <is>
          <t>District_Name</t>
        </is>
      </c>
      <c r="C1" s="2" t="inlineStr">
        <is>
          <t>Region</t>
        </is>
      </c>
      <c r="D1" s="2" t="inlineStr">
        <is>
          <t>CIP_Code</t>
        </is>
      </c>
      <c r="E1" s="2" t="inlineStr">
        <is>
          <t>Program_Name</t>
        </is>
      </c>
      <c r="F1" s="2" t="inlineStr">
        <is>
          <t>SOC_Code</t>
        </is>
      </c>
      <c r="G1" s="2" t="inlineStr">
        <is>
          <t>Occupation_Title</t>
        </is>
      </c>
      <c r="H1" s="2" t="inlineStr">
        <is>
          <t>Median_Wage</t>
        </is>
      </c>
      <c r="I1" s="2" t="inlineStr">
        <is>
          <t>Regional_Median_Wage</t>
        </is>
      </c>
      <c r="J1" s="2" t="inlineStr">
        <is>
          <t>Annual_Openings_Current</t>
        </is>
      </c>
      <c r="K1" s="2" t="inlineStr">
        <is>
          <t>Annual_Openings_10yr</t>
        </is>
      </c>
      <c r="L1" s="2" t="inlineStr">
        <is>
          <t>Wage_Ratio</t>
        </is>
      </c>
      <c r="M1" s="2" t="inlineStr">
        <is>
          <t>Is_High_Wage_110</t>
        </is>
      </c>
      <c r="N1" s="2" t="inlineStr">
        <is>
          <t>Is_High_Wage_120</t>
        </is>
      </c>
      <c r="O1" s="2" t="inlineStr">
        <is>
          <t>Is_High_Wage_130</t>
        </is>
      </c>
      <c r="P1" s="2" t="inlineStr">
        <is>
          <t>Rank_Current</t>
        </is>
      </c>
      <c r="Q1" s="2" t="inlineStr">
        <is>
          <t>Rank_10yr</t>
        </is>
      </c>
      <c r="R1" s="2" t="inlineStr">
        <is>
          <t>Is_Top15_Current</t>
        </is>
      </c>
      <c r="S1" s="2" t="inlineStr">
        <is>
          <t>Is_Top20_Current</t>
        </is>
      </c>
      <c r="T1" s="2" t="inlineStr">
        <is>
          <t>Is_Top15_10yr</t>
        </is>
      </c>
      <c r="U1" s="2" t="inlineStr">
        <is>
          <t>Is_Top20_10yr</t>
        </is>
      </c>
      <c r="V1" s="2" t="inlineStr">
        <is>
          <t>Aligned_110_Top15_Current</t>
        </is>
      </c>
      <c r="W1" s="2" t="inlineStr">
        <is>
          <t>Aligned_110_Top15_10yr</t>
        </is>
      </c>
      <c r="X1" s="2" t="inlineStr">
        <is>
          <t>Aligned_110_Top20_Current</t>
        </is>
      </c>
      <c r="Y1" s="2" t="inlineStr">
        <is>
          <t>Aligned_110_Top20_10yr</t>
        </is>
      </c>
      <c r="Z1" s="2" t="inlineStr">
        <is>
          <t>Aligned_120_Top15_Current</t>
        </is>
      </c>
      <c r="AA1" s="2" t="inlineStr">
        <is>
          <t>Aligned_120_Top15_10yr</t>
        </is>
      </c>
      <c r="AB1" s="2" t="inlineStr">
        <is>
          <t>Aligned_120_Top20_Current</t>
        </is>
      </c>
      <c r="AC1" s="2" t="inlineStr">
        <is>
          <t>Aligned_120_Top20_10yr</t>
        </is>
      </c>
      <c r="AD1" s="2" t="inlineStr">
        <is>
          <t>Aligned_130_Top15_Current</t>
        </is>
      </c>
      <c r="AE1" s="2" t="inlineStr">
        <is>
          <t>Aligned_130_Top15_10yr</t>
        </is>
      </c>
      <c r="AF1" s="2" t="inlineStr">
        <is>
          <t>Aligned_130_Top20_Current</t>
        </is>
      </c>
      <c r="AG1" s="2" t="inlineStr">
        <is>
          <t>Aligned_130_Top20_10yr</t>
        </is>
      </c>
    </row>
    <row r="2">
      <c r="A2" s="6" t="inlineStr">
        <is>
          <t>TEMPLATE: Full implementation in Phase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2025-11-10T22:56:37Z</dcterms:created>
  <dcterms:modified xsi:type="dcterms:W3CDTF">2025-11-11T14:11:12Z</dcterms:modified>
</cp:coreProperties>
</file>